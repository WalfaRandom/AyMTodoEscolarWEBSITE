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rgio\Desktop\AyMTodoEscolarWEBSITE\aym_productos\"/>
    </mc:Choice>
  </mc:AlternateContent>
  <xr:revisionPtr revIDLastSave="0" documentId="13_ncr:1_{BB4AC7DA-0379-4BD2-A3C1-44D6CFCEC1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entario" sheetId="3" r:id="rId1"/>
    <sheet name="PreciosPDF" sheetId="1" r:id="rId2"/>
    <sheet name="PreciosImg" sheetId="2" r:id="rId3"/>
  </sheets>
  <definedNames>
    <definedName name="_xlnm._FilterDatabase" localSheetId="0" hidden="1">Inventario!$F$1:$F$603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E2" i="2"/>
  <c r="E4" i="2"/>
  <c r="E7" i="2"/>
  <c r="E8" i="2"/>
  <c r="E9" i="2"/>
  <c r="E12" i="2"/>
  <c r="E13" i="2"/>
  <c r="E14" i="2"/>
  <c r="E19" i="2"/>
  <c r="E38" i="2"/>
  <c r="E40" i="2"/>
  <c r="E42" i="2"/>
  <c r="E44" i="2"/>
  <c r="E48" i="2"/>
  <c r="E59" i="2"/>
  <c r="E61" i="2"/>
  <c r="E63" i="2"/>
  <c r="E70" i="2"/>
  <c r="E76" i="2"/>
  <c r="E78" i="2"/>
  <c r="E80" i="2"/>
  <c r="E81" i="2"/>
  <c r="E82" i="2"/>
  <c r="E84" i="2"/>
  <c r="E86" i="2"/>
  <c r="E88" i="2"/>
  <c r="E90" i="2"/>
  <c r="E92" i="2"/>
  <c r="E95" i="2"/>
  <c r="E97" i="2"/>
  <c r="E102" i="2"/>
  <c r="E118" i="2"/>
  <c r="E121" i="2"/>
  <c r="E128" i="2"/>
  <c r="E140" i="2"/>
  <c r="E144" i="2"/>
  <c r="E148" i="2"/>
  <c r="E150" i="2"/>
  <c r="E152" i="2"/>
  <c r="E153" i="2"/>
  <c r="E154" i="2"/>
  <c r="E155" i="2"/>
  <c r="E161" i="2"/>
  <c r="E170" i="2"/>
  <c r="E172" i="2"/>
  <c r="E173" i="2"/>
  <c r="E174" i="2"/>
  <c r="E178" i="2"/>
  <c r="E179" i="2"/>
  <c r="E181" i="2"/>
  <c r="E184" i="2"/>
  <c r="E186" i="2"/>
  <c r="E188" i="2"/>
  <c r="E190" i="2"/>
  <c r="E191" i="2"/>
  <c r="E196" i="2"/>
  <c r="E197" i="2"/>
  <c r="E199" i="2"/>
  <c r="E210" i="2"/>
  <c r="E212" i="2"/>
</calcChain>
</file>

<file path=xl/sharedStrings.xml><?xml version="1.0" encoding="utf-8"?>
<sst xmlns="http://schemas.openxmlformats.org/spreadsheetml/2006/main" count="1829" uniqueCount="570">
  <si>
    <t>PRODUCTO</t>
  </si>
  <si>
    <t>CANTIDAD</t>
  </si>
  <si>
    <t>COSTO</t>
  </si>
  <si>
    <t>COSTO TOTAL</t>
  </si>
  <si>
    <t>P.VENTA</t>
  </si>
  <si>
    <r>
      <rPr>
        <sz val="11"/>
        <rFont val="Calibri"/>
        <family val="1"/>
      </rPr>
      <t>ACUARELA 12 COLORES EN CAJA PROARTE</t>
    </r>
  </si>
  <si>
    <r>
      <rPr>
        <sz val="11"/>
        <rFont val="Calibri"/>
        <family val="1"/>
      </rPr>
      <t>ADHESIVO MULTIUSO 100CC 12 UNIDADES FULTONS</t>
    </r>
  </si>
  <si>
    <r>
      <rPr>
        <sz val="11"/>
        <rFont val="Calibri"/>
        <family val="1"/>
      </rPr>
      <t>ADHESIVO MULTIUSO 30CC 24 UNIDADES FULTONS</t>
    </r>
  </si>
  <si>
    <r>
      <rPr>
        <sz val="11"/>
        <rFont val="Calibri"/>
        <family val="1"/>
      </rPr>
      <t>AGUJAS METALICAS PARA LANA 6CM ART&amp;CRAFT</t>
    </r>
  </si>
  <si>
    <r>
      <rPr>
        <sz val="11"/>
        <rFont val="Calibri"/>
        <family val="1"/>
      </rPr>
      <t>AGUJAS PLASTICAS PARA LANA 7CM ART&amp;CRAFT</t>
    </r>
  </si>
  <si>
    <r>
      <rPr>
        <sz val="11"/>
        <rFont val="Calibri"/>
        <family val="1"/>
      </rPr>
      <t>APRETADOR 25MM 12 UNIDADES FULTONS</t>
    </r>
  </si>
  <si>
    <r>
      <rPr>
        <sz val="11"/>
        <rFont val="Calibri"/>
        <family val="1"/>
      </rPr>
      <t>APRETADOR 41MM 12 UNIDADES FULTONS</t>
    </r>
  </si>
  <si>
    <r>
      <rPr>
        <sz val="11"/>
        <rFont val="Calibri"/>
        <family val="1"/>
      </rPr>
      <t>ARCHIVADOR OFICIO</t>
    </r>
  </si>
  <si>
    <r>
      <rPr>
        <sz val="11"/>
        <rFont val="Calibri"/>
        <family val="1"/>
      </rPr>
      <t>ARCILLA 1 KILO APROX USO ESCOLAR Y PROFESIONAL</t>
    </r>
  </si>
  <si>
    <r>
      <rPr>
        <sz val="11"/>
        <rFont val="Calibri"/>
        <family val="1"/>
      </rPr>
      <t>BARRAS SILICONA BOLSA DE 10</t>
    </r>
  </si>
  <si>
    <r>
      <rPr>
        <sz val="11"/>
        <rFont val="Calibri"/>
        <family val="1"/>
      </rPr>
      <t>BILLETES Y MONEDAS DE CHILE ARTE TOP</t>
    </r>
  </si>
  <si>
    <r>
      <rPr>
        <sz val="11"/>
        <rFont val="Calibri"/>
        <family val="1"/>
      </rPr>
      <t>BLOCK CARTON CORRUGADO</t>
    </r>
  </si>
  <si>
    <r>
      <rPr>
        <sz val="11"/>
        <rFont val="Calibri"/>
        <family val="1"/>
      </rPr>
      <t>BLOCK CARTULINA DE COLOR</t>
    </r>
  </si>
  <si>
    <r>
      <rPr>
        <sz val="11"/>
        <rFont val="Calibri"/>
        <family val="1"/>
      </rPr>
      <t>BLOCK CARTULINA DE METAL</t>
    </r>
  </si>
  <si>
    <r>
      <rPr>
        <sz val="11"/>
        <rFont val="Calibri"/>
        <family val="1"/>
      </rPr>
      <t>BLOCK CARTULINA ESPAÑOLA</t>
    </r>
  </si>
  <si>
    <r>
      <rPr>
        <sz val="11"/>
        <rFont val="Calibri"/>
        <family val="1"/>
      </rPr>
      <t>BLOCK DE PAPEL CELOFAN</t>
    </r>
  </si>
  <si>
    <r>
      <rPr>
        <sz val="11"/>
        <rFont val="Calibri"/>
        <family val="1"/>
      </rPr>
      <t>BLOCK DIBUJO 99</t>
    </r>
  </si>
  <si>
    <r>
      <rPr>
        <sz val="11"/>
        <rFont val="Calibri"/>
        <family val="1"/>
      </rPr>
      <t>BLOCK LICEO 20 HOJAS PROARTE</t>
    </r>
  </si>
  <si>
    <r>
      <rPr>
        <sz val="11"/>
        <rFont val="Calibri"/>
        <family val="1"/>
      </rPr>
      <t>BLOCK MILIMETRADO 50 HOJAS PROARTE</t>
    </r>
  </si>
  <si>
    <r>
      <rPr>
        <sz val="11"/>
        <rFont val="Calibri"/>
        <family val="1"/>
      </rPr>
      <t>BLOCK PAÑOLENCI</t>
    </r>
  </si>
  <si>
    <r>
      <rPr>
        <sz val="11"/>
        <rFont val="Calibri"/>
        <family val="1"/>
      </rPr>
      <t>BLOCK PAPEL DE DIAMANTE</t>
    </r>
  </si>
  <si>
    <r>
      <rPr>
        <sz val="11"/>
        <rFont val="Calibri"/>
        <family val="1"/>
      </rPr>
      <t>BLOCK PAPEL ENTRETENIDO</t>
    </r>
  </si>
  <si>
    <r>
      <rPr>
        <sz val="11"/>
        <rFont val="Calibri"/>
        <family val="1"/>
      </rPr>
      <t>BLOCK PAPEL LUSTRE</t>
    </r>
  </si>
  <si>
    <r>
      <rPr>
        <sz val="11"/>
        <rFont val="Calibri"/>
        <family val="1"/>
      </rPr>
      <t>BLOCK PAPEL LUSTRE TORRE</t>
    </r>
  </si>
  <si>
    <r>
      <rPr>
        <sz val="11"/>
        <rFont val="Calibri"/>
        <family val="1"/>
      </rPr>
      <t>BOLSAS ESCARCHA ART &amp; CRAFT</t>
    </r>
  </si>
  <si>
    <r>
      <rPr>
        <sz val="11"/>
        <rFont val="Calibri"/>
        <family val="1"/>
      </rPr>
      <t>BOLSITAS CON LENTEJUELAS COLORES ESPECIALES</t>
    </r>
  </si>
  <si>
    <r>
      <rPr>
        <sz val="11"/>
        <rFont val="Calibri"/>
        <family val="1"/>
      </rPr>
      <t>BOLSITAS CON MOSTACILLLAS ART&amp;CRAFT</t>
    </r>
  </si>
  <si>
    <r>
      <rPr>
        <sz val="11"/>
        <rFont val="Calibri"/>
        <family val="1"/>
      </rPr>
      <t>BOLSITAS CONFETI ART &amp; CRAFT</t>
    </r>
  </si>
  <si>
    <r>
      <rPr>
        <sz val="11"/>
        <rFont val="Calibri"/>
        <family val="1"/>
      </rPr>
      <t>BOLSITAS ESCARCHA COLORES ART &amp; CRAFT</t>
    </r>
  </si>
  <si>
    <r>
      <rPr>
        <sz val="11"/>
        <rFont val="Calibri"/>
        <family val="1"/>
      </rPr>
      <t>BOLSITAS ESTRELLA Y LENTEJUELAS ART&amp;CRAFT</t>
    </r>
  </si>
  <si>
    <r>
      <rPr>
        <sz val="11"/>
        <rFont val="Calibri"/>
        <family val="1"/>
      </rPr>
      <t>BOLSITAS LENTEJUELAS COLORES ART &amp; CRAFT</t>
    </r>
  </si>
  <si>
    <r>
      <rPr>
        <sz val="11"/>
        <rFont val="Calibri"/>
        <family val="1"/>
      </rPr>
      <t>BORRADOR PIZARRA MAGNETICO</t>
    </r>
  </si>
  <si>
    <r>
      <rPr>
        <sz val="11"/>
        <rFont val="Calibri"/>
        <family val="1"/>
      </rPr>
      <t>BROCHES METALICOS DORADOS 50 UNIDADES 1 CAJITA</t>
    </r>
  </si>
  <si>
    <r>
      <rPr>
        <sz val="11"/>
        <rFont val="Calibri"/>
        <family val="1"/>
      </rPr>
      <t>CAJA GOMA DE BORRAR MIGA 20 UNIDADES</t>
    </r>
  </si>
  <si>
    <r>
      <rPr>
        <sz val="11"/>
        <rFont val="Calibri"/>
        <family val="1"/>
      </rPr>
      <t>CARPETA CON ELASTICO</t>
    </r>
  </si>
  <si>
    <r>
      <rPr>
        <sz val="11"/>
        <rFont val="Calibri"/>
        <family val="1"/>
      </rPr>
      <t>CARPETA PLASTIFICDA OFICIO</t>
    </r>
  </si>
  <si>
    <r>
      <rPr>
        <sz val="11"/>
        <rFont val="Calibri"/>
        <family val="1"/>
      </rPr>
      <t>CARTON 20 SETS OJITOS LOCOS BLANCOS CON ADHESIVO</t>
    </r>
  </si>
  <si>
    <r>
      <rPr>
        <sz val="11"/>
        <rFont val="Calibri"/>
        <family val="1"/>
      </rPr>
      <t>CARTON PIEDRA 1.5MM 27.5X38.5CM 25 UNIDADES</t>
    </r>
  </si>
  <si>
    <r>
      <rPr>
        <sz val="11"/>
        <rFont val="Calibri"/>
        <family val="1"/>
      </rPr>
      <t>CARTON PIEDRA 1.5MM 38.5X55CMS 25 UNIDADES</t>
    </r>
  </si>
  <si>
    <r>
      <rPr>
        <sz val="11"/>
        <rFont val="Calibri"/>
        <family val="1"/>
      </rPr>
      <t>CARTON PIEDRA 1.5MM 55X77CM 25 UNIDADES</t>
    </r>
  </si>
  <si>
    <r>
      <rPr>
        <sz val="11"/>
        <rFont val="Calibri"/>
        <family val="1"/>
      </rPr>
      <t>CARTULINA DE COLOR PLIEGO</t>
    </r>
  </si>
  <si>
    <r>
      <rPr>
        <sz val="11"/>
        <rFont val="Calibri"/>
        <family val="1"/>
      </rPr>
      <t>CARTULINA PINTADA</t>
    </r>
  </si>
  <si>
    <r>
      <rPr>
        <sz val="11"/>
        <rFont val="Calibri"/>
        <family val="1"/>
      </rPr>
      <t>CHINCHES NIQUELADOS DORADOS 100 UNIDADES ISOFIT</t>
    </r>
  </si>
  <si>
    <r>
      <rPr>
        <sz val="11"/>
        <rFont val="Calibri"/>
        <family val="1"/>
      </rPr>
      <t>CHINCHES NIQUELADOS PLATEADOS 100 UNIDADES ISOFIT</t>
    </r>
  </si>
  <si>
    <r>
      <rPr>
        <sz val="11"/>
        <rFont val="Calibri"/>
        <family val="1"/>
      </rPr>
      <t>CINTA DE EMBALAJE 48MMX40MTS TRANSPARENTE 6</t>
    </r>
  </si>
  <si>
    <r>
      <rPr>
        <sz val="11"/>
        <rFont val="Calibri"/>
        <family val="1"/>
      </rPr>
      <t>CINTA DE ENMASCARAR 12MMX40MTS 12 UNIDADES LAVORO</t>
    </r>
  </si>
  <si>
    <r>
      <rPr>
        <sz val="11"/>
        <rFont val="Calibri"/>
        <family val="1"/>
      </rPr>
      <t>CINTA DE ENMASCARAR 18MMX40MTS 8 UNIDADES LAVORO</t>
    </r>
  </si>
  <si>
    <r>
      <rPr>
        <sz val="11"/>
        <rFont val="Calibri"/>
        <family val="1"/>
      </rPr>
      <t>CIRCUITO ELECTRICO BASICO ART&amp;CRAFT</t>
    </r>
  </si>
  <si>
    <r>
      <rPr>
        <sz val="11"/>
        <rFont val="Calibri"/>
        <family val="1"/>
      </rPr>
      <t>CIRCUITO ELECTRICO CON MOTOR ART&amp;CRAFT</t>
    </r>
  </si>
  <si>
    <r>
      <rPr>
        <sz val="11"/>
        <rFont val="Calibri"/>
        <family val="1"/>
      </rPr>
      <t>CLIPS 28MM 100 UNIDADES ISOFIT</t>
    </r>
  </si>
  <si>
    <r>
      <rPr>
        <sz val="11"/>
        <rFont val="Calibri"/>
        <family val="1"/>
      </rPr>
      <t>CLIPS METAL 33MM 100 UNIDADES ISOFIT</t>
    </r>
  </si>
  <si>
    <r>
      <rPr>
        <sz val="11"/>
        <rFont val="Calibri"/>
        <family val="1"/>
      </rPr>
      <t>COLA FRIA 125 GRS 12 UNIDADES PROARTE</t>
    </r>
  </si>
  <si>
    <r>
      <rPr>
        <sz val="11"/>
        <rFont val="Calibri"/>
        <family val="1"/>
      </rPr>
      <t>COLA FRIA 225 GRS 12 UNIDADES PROARTE</t>
    </r>
  </si>
  <si>
    <r>
      <rPr>
        <sz val="11"/>
        <rFont val="Calibri"/>
        <family val="1"/>
      </rPr>
      <t>COMPAS CON LAPIZ</t>
    </r>
  </si>
  <si>
    <r>
      <rPr>
        <sz val="11"/>
        <rFont val="Calibri"/>
        <family val="1"/>
      </rPr>
      <t>CORRECTOR POSTURA</t>
    </r>
  </si>
  <si>
    <r>
      <rPr>
        <sz val="11"/>
        <rFont val="Calibri"/>
        <family val="1"/>
      </rPr>
      <t>CORRECTOR PUNTA METALICA 7 ML 12 UNIDADES</t>
    </r>
  </si>
  <si>
    <r>
      <rPr>
        <sz val="11"/>
        <rFont val="Calibri"/>
        <family val="1"/>
      </rPr>
      <t>CROQUERA CARTA</t>
    </r>
  </si>
  <si>
    <r>
      <rPr>
        <sz val="11"/>
        <rFont val="Calibri"/>
        <family val="1"/>
      </rPr>
      <t>CROQUERA OFICIO TORRE</t>
    </r>
  </si>
  <si>
    <r>
      <rPr>
        <sz val="11"/>
        <rFont val="Calibri"/>
        <family val="1"/>
      </rPr>
      <t>CUADERNILLO CUADRO GRANDE 7MM OFICIO 5 HOJAS</t>
    </r>
  </si>
  <si>
    <r>
      <rPr>
        <sz val="11"/>
        <rFont val="Calibri"/>
        <family val="1"/>
      </rPr>
      <t>CUADERNO COLLAGE 80 HJS 5MM</t>
    </r>
  </si>
  <si>
    <r>
      <rPr>
        <sz val="11"/>
        <rFont val="Calibri"/>
        <family val="1"/>
      </rPr>
      <t>CUADERNO COLLAGE 80 HJS 7MM</t>
    </r>
  </si>
  <si>
    <r>
      <rPr>
        <sz val="11"/>
        <rFont val="Calibri"/>
        <family val="1"/>
      </rPr>
      <t>CUADERNO COLLAGE LISO 7MM</t>
    </r>
  </si>
  <si>
    <r>
      <rPr>
        <sz val="11"/>
        <rFont val="Calibri"/>
        <family val="1"/>
      </rPr>
      <t>CUADERNO COLLAGE LISO CROQUIS</t>
    </r>
  </si>
  <si>
    <r>
      <rPr>
        <sz val="11"/>
        <rFont val="Calibri"/>
        <family val="1"/>
      </rPr>
      <t>CUADERNO DE MUSICA MEDIA PAUTA</t>
    </r>
  </si>
  <si>
    <r>
      <rPr>
        <sz val="11"/>
        <rFont val="Calibri"/>
        <family val="1"/>
      </rPr>
      <t>CUADERNO MUSICA PAUTA ENTERA</t>
    </r>
  </si>
  <si>
    <r>
      <rPr>
        <sz val="11"/>
        <rFont val="Calibri"/>
        <family val="1"/>
      </rPr>
      <t>CUADERNO UNIVERSITARIO PROARTE</t>
    </r>
  </si>
  <si>
    <r>
      <rPr>
        <sz val="11"/>
        <rFont val="Calibri"/>
        <family val="1"/>
      </rPr>
      <t>CUADERNO UNIVERSITARIO TORRE</t>
    </r>
  </si>
  <si>
    <r>
      <rPr>
        <sz val="11"/>
        <rFont val="Calibri"/>
        <family val="1"/>
      </rPr>
      <t>CUADERNO UNIVERSOTARIO CROQUIS</t>
    </r>
  </si>
  <si>
    <r>
      <rPr>
        <sz val="11"/>
        <rFont val="Calibri"/>
        <family val="1"/>
      </rPr>
      <t>CUCHILLO CARTONERO CHICO NARANJO 1 UNIDAD FULTONS</t>
    </r>
  </si>
  <si>
    <r>
      <rPr>
        <sz val="11"/>
        <rFont val="Calibri"/>
        <family val="1"/>
      </rPr>
      <t>CUCHILLO CARTONERO GRANDE NARANJO 1 UNIDAD FULTONS</t>
    </r>
  </si>
  <si>
    <r>
      <rPr>
        <sz val="11"/>
        <rFont val="Calibri"/>
        <family val="1"/>
      </rPr>
      <t>DEDO DE GOMA</t>
    </r>
  </si>
  <si>
    <r>
      <rPr>
        <sz val="11"/>
        <rFont val="Calibri"/>
        <family val="1"/>
      </rPr>
      <t>DESTACADOR LAPIZ AMARILLO 12 UNIDADES ISOFIT</t>
    </r>
  </si>
  <si>
    <r>
      <rPr>
        <sz val="11"/>
        <rFont val="Calibri"/>
        <family val="1"/>
      </rPr>
      <t>DESTACADOR LAPIZ CELESTE 12 UNIDADES ISOFIT</t>
    </r>
  </si>
  <si>
    <r>
      <rPr>
        <sz val="11"/>
        <rFont val="Calibri"/>
        <family val="1"/>
      </rPr>
      <t>DESTACADOR LAPIZ NARANJO 12 UNIDADES ISOFIT</t>
    </r>
  </si>
  <si>
    <r>
      <rPr>
        <sz val="11"/>
        <rFont val="Calibri"/>
        <family val="1"/>
      </rPr>
      <t>DESTACADOR LAPIZ ROSADO 12 UNIDADES ISOFIT</t>
    </r>
  </si>
  <si>
    <r>
      <rPr>
        <sz val="11"/>
        <rFont val="Calibri"/>
        <family val="1"/>
      </rPr>
      <t>ELASTICOS 1/2 KILO BLANCO FULTONS</t>
    </r>
  </si>
  <si>
    <r>
      <rPr>
        <sz val="11"/>
        <rFont val="Calibri"/>
        <family val="1"/>
      </rPr>
      <t>ESFERAS 12.5 CM DIAMETRO RAY FEN</t>
    </r>
  </si>
  <si>
    <r>
      <rPr>
        <sz val="11"/>
        <rFont val="Calibri"/>
        <family val="1"/>
      </rPr>
      <t>ESFERAS DE PLUMAVIT 2 CM DIAMETRO RAY FEN</t>
    </r>
  </si>
  <si>
    <r>
      <rPr>
        <sz val="11"/>
        <rFont val="Calibri"/>
        <family val="1"/>
      </rPr>
      <t>ESFERAS DE PLUMAVIT 2.5 CM DIAMETRO RAY FEN</t>
    </r>
  </si>
  <si>
    <r>
      <rPr>
        <sz val="11"/>
        <rFont val="Calibri"/>
        <family val="1"/>
      </rPr>
      <t>ESFERAS DE PLUMAVIT 3.5 CM DIAMETRO RAY FEN</t>
    </r>
  </si>
  <si>
    <r>
      <rPr>
        <sz val="11"/>
        <rFont val="Calibri"/>
        <family val="1"/>
      </rPr>
      <t>ESFERAS DE PLUMAVIT 4 CM DIÁMETRO RAY FEN</t>
    </r>
  </si>
  <si>
    <r>
      <rPr>
        <sz val="11"/>
        <rFont val="Calibri"/>
        <family val="1"/>
      </rPr>
      <t>ESFERAS DE PLUMAVIT 5 CM DIAMETRO RAY FEN</t>
    </r>
  </si>
  <si>
    <r>
      <rPr>
        <sz val="11"/>
        <rFont val="Calibri"/>
        <family val="1"/>
      </rPr>
      <t>ESFERAS DE PLUMAVIT 6 CM DIAMETRO RAY FEN</t>
    </r>
  </si>
  <si>
    <r>
      <rPr>
        <sz val="11"/>
        <rFont val="Calibri"/>
        <family val="1"/>
      </rPr>
      <t>ESFERAS DE PLUMAVIT 7 CM DIÁMETRO RAY FEN</t>
    </r>
  </si>
  <si>
    <r>
      <rPr>
        <sz val="11"/>
        <rFont val="Calibri"/>
        <family val="1"/>
      </rPr>
      <t>ESFERAS DE PLUMAVIT 9 CM DIÁMETRO RAY FEN</t>
    </r>
  </si>
  <si>
    <r>
      <rPr>
        <sz val="11"/>
        <rFont val="Calibri"/>
        <family val="1"/>
      </rPr>
      <t>FASTENERS PLASTICOS COLORES SURTIDOS 50 UN</t>
    </r>
  </si>
  <si>
    <r>
      <rPr>
        <sz val="11"/>
        <rFont val="Calibri"/>
        <family val="1"/>
      </rPr>
      <t>FORRO COLLEGE PLASTICO AMARILLO 10 UNIDADES</t>
    </r>
  </si>
  <si>
    <r>
      <rPr>
        <sz val="11"/>
        <rFont val="Calibri"/>
        <family val="1"/>
      </rPr>
      <t>FORRO COLLEGE PLASTICO AZUL 10 UNIDADES</t>
    </r>
  </si>
  <si>
    <r>
      <rPr>
        <sz val="11"/>
        <rFont val="Calibri"/>
        <family val="1"/>
      </rPr>
      <t>FORRO COLLEGE PLASTICO BLANCO 10 UNIDADES</t>
    </r>
  </si>
  <si>
    <r>
      <rPr>
        <sz val="11"/>
        <rFont val="Calibri"/>
        <family val="1"/>
      </rPr>
      <t>FORRO COLLEGE PLASTICO CAFE 10 UNIDADES</t>
    </r>
  </si>
  <si>
    <r>
      <rPr>
        <sz val="11"/>
        <rFont val="Calibri"/>
        <family val="1"/>
      </rPr>
      <t>FORRO COLLEGE PLASTICO CELESTE 10 UNIDADES</t>
    </r>
  </si>
  <si>
    <r>
      <rPr>
        <sz val="11"/>
        <rFont val="Calibri"/>
        <family val="1"/>
      </rPr>
      <t>FORRO COLLEGE PLASTICO FUCSIA 10 UNIDADES</t>
    </r>
  </si>
  <si>
    <r>
      <rPr>
        <sz val="11"/>
        <rFont val="Calibri"/>
        <family val="1"/>
      </rPr>
      <t>FORRO COLLEGE PLASTICO GRIS 10 UNIDADES</t>
    </r>
  </si>
  <si>
    <r>
      <rPr>
        <sz val="11"/>
        <rFont val="Calibri"/>
        <family val="1"/>
      </rPr>
      <t>FORRO COLLEGE PLASTICO LILA 10 UNIDADES</t>
    </r>
  </si>
  <si>
    <r>
      <rPr>
        <sz val="11"/>
        <rFont val="Calibri"/>
        <family val="1"/>
      </rPr>
      <t>FORRO COLLEGE PLASTICO MORADO 10 UNIDADES</t>
    </r>
  </si>
  <si>
    <r>
      <rPr>
        <sz val="11"/>
        <rFont val="Calibri"/>
        <family val="1"/>
      </rPr>
      <t>FORRO COLLEGE PLASTICO NARANJA 10 UNIDADES</t>
    </r>
  </si>
  <si>
    <r>
      <rPr>
        <sz val="11"/>
        <rFont val="Calibri"/>
        <family val="1"/>
      </rPr>
      <t>FORRO COLLEGE PLASTICO NEGRO 10 UNIDADES</t>
    </r>
  </si>
  <si>
    <r>
      <rPr>
        <sz val="11"/>
        <rFont val="Calibri"/>
        <family val="1"/>
      </rPr>
      <t>FORRO COLLEGE PLASTICO ROJO 10 UNIDADES</t>
    </r>
  </si>
  <si>
    <r>
      <rPr>
        <sz val="11"/>
        <rFont val="Calibri"/>
        <family val="1"/>
      </rPr>
      <t>FORRO COLLEGE PLASTICO ROSADO 10 UNIDADES</t>
    </r>
  </si>
  <si>
    <r>
      <rPr>
        <sz val="11"/>
        <rFont val="Calibri"/>
        <family val="1"/>
      </rPr>
      <t>FORRO COLLEGE PLASTICO TRANSPARENTE 10 UNI</t>
    </r>
  </si>
  <si>
    <r>
      <rPr>
        <sz val="11"/>
        <rFont val="Calibri"/>
        <family val="1"/>
      </rPr>
      <t>FORRO COLLEGE PLASTICO VERDE CLARO 10 UNI</t>
    </r>
  </si>
  <si>
    <r>
      <rPr>
        <sz val="11"/>
        <rFont val="Calibri"/>
        <family val="1"/>
      </rPr>
      <t>FORRO COLLEGE PLASTICO VERDE OSCURO 10 UNID</t>
    </r>
  </si>
  <si>
    <r>
      <rPr>
        <sz val="11"/>
        <rFont val="Calibri"/>
        <family val="1"/>
      </rPr>
      <t>FORRO LIBRO PLASTICO TRANSPARENTE 10 UN</t>
    </r>
  </si>
  <si>
    <r>
      <rPr>
        <sz val="11"/>
        <rFont val="Calibri"/>
        <family val="1"/>
      </rPr>
      <t>FORRO UNIVERSITARIO PLASTICO AMARILLO 10 U</t>
    </r>
  </si>
  <si>
    <r>
      <rPr>
        <sz val="11"/>
        <rFont val="Calibri"/>
        <family val="1"/>
      </rPr>
      <t>FORRO UNIVERSITARIO PLASTICO AZUL 10 U</t>
    </r>
  </si>
  <si>
    <r>
      <rPr>
        <sz val="11"/>
        <rFont val="Calibri"/>
        <family val="1"/>
      </rPr>
      <t>FORRO UNIVERSITARIO PLASTICO BLANCO 10 UN</t>
    </r>
  </si>
  <si>
    <r>
      <rPr>
        <sz val="11"/>
        <rFont val="Calibri"/>
        <family val="1"/>
      </rPr>
      <t>FORRO UNIVERSITARIO PLASTICO CAFE 10 U</t>
    </r>
  </si>
  <si>
    <r>
      <rPr>
        <sz val="11"/>
        <rFont val="Calibri"/>
        <family val="1"/>
      </rPr>
      <t>FORRO UNIVERSITARIO PLASTICO CELESTE 10 U</t>
    </r>
  </si>
  <si>
    <r>
      <rPr>
        <sz val="11"/>
        <rFont val="Calibri"/>
        <family val="1"/>
      </rPr>
      <t>FORRO UNIVERSITARIO PLASTICO FUCSIA 10 UNI</t>
    </r>
  </si>
  <si>
    <r>
      <rPr>
        <sz val="11"/>
        <rFont val="Calibri"/>
        <family val="1"/>
      </rPr>
      <t>FORRO UNIVERSITARIO PLASTICO GRIS 10 UNID</t>
    </r>
  </si>
  <si>
    <r>
      <rPr>
        <sz val="11"/>
        <rFont val="Calibri"/>
        <family val="1"/>
      </rPr>
      <t>FORRO UNIVERSITARIO PLASTICO LILA 10 UNID</t>
    </r>
  </si>
  <si>
    <r>
      <rPr>
        <sz val="11"/>
        <rFont val="Calibri"/>
        <family val="1"/>
      </rPr>
      <t>FORRO UNIVERSITARIO PLASTICO MORADO 10 U</t>
    </r>
  </si>
  <si>
    <r>
      <rPr>
        <sz val="11"/>
        <rFont val="Calibri"/>
        <family val="1"/>
      </rPr>
      <t>FORRO UNIVERSITARIO PLASTICO NARANJA 10 U</t>
    </r>
  </si>
  <si>
    <r>
      <rPr>
        <sz val="11"/>
        <rFont val="Calibri"/>
        <family val="1"/>
      </rPr>
      <t>FORRO UNIVERSITARIO PLASTICO NEGRO 10 U</t>
    </r>
  </si>
  <si>
    <r>
      <rPr>
        <sz val="11"/>
        <rFont val="Calibri"/>
        <family val="1"/>
      </rPr>
      <t>FORRO UNIVERSITARIO PLASTICO ROJO 10 U</t>
    </r>
  </si>
  <si>
    <r>
      <rPr>
        <sz val="11"/>
        <rFont val="Calibri"/>
        <family val="1"/>
      </rPr>
      <t>FORRO UNIVERSITARIO PLASTICO ROSADO 10 U</t>
    </r>
  </si>
  <si>
    <r>
      <rPr>
        <sz val="11"/>
        <rFont val="Calibri"/>
        <family val="1"/>
      </rPr>
      <t>FORRO UNIVERSITARIO PLASTICO TRANSPARENTE 10</t>
    </r>
  </si>
  <si>
    <r>
      <rPr>
        <sz val="11"/>
        <rFont val="Calibri"/>
        <family val="1"/>
      </rPr>
      <t>FORRO UNIVERSITARIO PLASTICO VERDE 10 UN</t>
    </r>
  </si>
  <si>
    <r>
      <rPr>
        <sz val="11"/>
        <rFont val="Calibri"/>
        <family val="1"/>
      </rPr>
      <t>FORRO UNIVERSITARIO PLASTICO VERDE CLARO 10 U</t>
    </r>
  </si>
  <si>
    <r>
      <rPr>
        <sz val="11"/>
        <rFont val="Calibri"/>
        <family val="1"/>
      </rPr>
      <t>FUNDAS TRANSPARENTE OFICIO 100UN FULTONS</t>
    </r>
  </si>
  <si>
    <r>
      <rPr>
        <sz val="11"/>
        <rFont val="Calibri"/>
        <family val="1"/>
      </rPr>
      <t>FUNDAS TRANSPARENTRES CARTA 100UN FULTONS</t>
    </r>
  </si>
  <si>
    <r>
      <rPr>
        <sz val="11"/>
        <rFont val="Calibri"/>
        <family val="1"/>
      </rPr>
      <t>GLITTER GLUE 6 COLORES 10ML ART&amp;CRAFT</t>
    </r>
  </si>
  <si>
    <r>
      <rPr>
        <sz val="11"/>
        <rFont val="Calibri"/>
        <family val="1"/>
      </rPr>
      <t>GOMA DE BORRAR FACTIS</t>
    </r>
  </si>
  <si>
    <r>
      <rPr>
        <sz val="11"/>
        <rFont val="Calibri"/>
        <family val="1"/>
      </rPr>
      <t>GOMA DE MIGA 36 UN SOFT PROARTE</t>
    </r>
  </si>
  <si>
    <r>
      <rPr>
        <sz val="11"/>
        <rFont val="Calibri"/>
        <family val="1"/>
      </rPr>
      <t>GOMA EVA BRILLANTE SET</t>
    </r>
  </si>
  <si>
    <r>
      <rPr>
        <sz val="11"/>
        <rFont val="Calibri"/>
        <family val="1"/>
      </rPr>
      <t>GOMA EVA FLORES ADHESIVAS ARTE TOP</t>
    </r>
  </si>
  <si>
    <r>
      <rPr>
        <sz val="11"/>
        <rFont val="Calibri"/>
        <family val="1"/>
      </rPr>
      <t>GOMA EVA SET</t>
    </r>
  </si>
  <si>
    <r>
      <rPr>
        <sz val="11"/>
        <rFont val="Calibri"/>
        <family val="1"/>
      </rPr>
      <t>GREDA 1 KILO</t>
    </r>
  </si>
  <si>
    <r>
      <rPr>
        <sz val="11"/>
        <rFont val="Calibri"/>
        <family val="1"/>
      </rPr>
      <t>HOJA TAMAÑO CARTA</t>
    </r>
  </si>
  <si>
    <r>
      <rPr>
        <sz val="11"/>
        <rFont val="Calibri"/>
        <family val="1"/>
      </rPr>
      <t>JUEGO GEOMETRICO 30CM 4 PIEZAS ART&amp;CRAFT</t>
    </r>
  </si>
  <si>
    <r>
      <rPr>
        <sz val="11"/>
        <rFont val="Calibri"/>
        <family val="1"/>
      </rPr>
      <t>LAMINAS PARA TERMOLAMINAR 75 MICRONES CARTA 100 U</t>
    </r>
  </si>
  <si>
    <r>
      <rPr>
        <sz val="11"/>
        <rFont val="Calibri"/>
        <family val="1"/>
      </rPr>
      <t>LANA 5 COLORES BASICOS 1 AGUJA PLAST ART &amp; CRAFT</t>
    </r>
  </si>
  <si>
    <r>
      <rPr>
        <sz val="11"/>
        <rFont val="Calibri"/>
        <family val="1"/>
      </rPr>
      <t>LAPICES 12 COLORES LARGOS HEXAGONALES FULTONS</t>
    </r>
  </si>
  <si>
    <r>
      <rPr>
        <sz val="11"/>
        <rFont val="Calibri"/>
        <family val="1"/>
      </rPr>
      <t>LAPICES 12 COLORES LARGOS ROSS</t>
    </r>
  </si>
  <si>
    <r>
      <rPr>
        <sz val="11"/>
        <rFont val="Calibri"/>
        <family val="1"/>
      </rPr>
      <t>LAPICES BICOLOR DELGADO 12 UN PROARTE</t>
    </r>
  </si>
  <si>
    <r>
      <rPr>
        <sz val="11"/>
        <rFont val="Calibri"/>
        <family val="1"/>
      </rPr>
      <t>LAPICES BICOLOR GRUESOS 12 UNIDADES PROARTE</t>
    </r>
  </si>
  <si>
    <r>
      <rPr>
        <sz val="11"/>
        <rFont val="Calibri"/>
        <family val="1"/>
      </rPr>
      <t>LAPICES DE CERA 12 COLORES JUMBO FULTONS</t>
    </r>
  </si>
  <si>
    <r>
      <rPr>
        <sz val="11"/>
        <rFont val="Calibri"/>
        <family val="1"/>
      </rPr>
      <t>LAPICES DE CERA DELGADOS 12 COLORES FULTONS</t>
    </r>
  </si>
  <si>
    <r>
      <rPr>
        <sz val="11"/>
        <rFont val="Calibri"/>
        <family val="1"/>
      </rPr>
      <t>LAPICES DE COLOR LARGO</t>
    </r>
  </si>
  <si>
    <r>
      <rPr>
        <sz val="11"/>
        <rFont val="Calibri"/>
        <family val="1"/>
      </rPr>
      <t>LAPICES DE COLORES FABER CASTEL</t>
    </r>
  </si>
  <si>
    <r>
      <rPr>
        <sz val="11"/>
        <rFont val="Calibri"/>
        <family val="1"/>
      </rPr>
      <t>LAPICES DE COLORES PROARTE</t>
    </r>
  </si>
  <si>
    <r>
      <rPr>
        <sz val="11"/>
        <rFont val="Calibri"/>
        <family val="1"/>
      </rPr>
      <t>LAPICES PASTEL GRASOS 12 COLORES ART&amp;CRAFT</t>
    </r>
  </si>
  <si>
    <r>
      <rPr>
        <sz val="11"/>
        <rFont val="Calibri"/>
        <family val="1"/>
      </rPr>
      <t>LAPIZ CORRECTOR 7ML 12UN FULTONS</t>
    </r>
  </si>
  <si>
    <r>
      <rPr>
        <sz val="11"/>
        <rFont val="Calibri"/>
        <family val="1"/>
      </rPr>
      <t>LAPIZ DE CERA CORTO JUMBO</t>
    </r>
  </si>
  <si>
    <r>
      <rPr>
        <sz val="11"/>
        <rFont val="Calibri"/>
        <family val="1"/>
      </rPr>
      <t>LAPIZ GRAFITO CON GOMA HB N°2 - 12 UNIDADES PROARTE</t>
    </r>
  </si>
  <si>
    <r>
      <rPr>
        <sz val="11"/>
        <rFont val="Calibri"/>
        <family val="1"/>
      </rPr>
      <t>LAPIZ GRAFITO FABER CASTEL</t>
    </r>
  </si>
  <si>
    <r>
      <rPr>
        <sz val="11"/>
        <rFont val="Calibri"/>
        <family val="1"/>
      </rPr>
      <t>LAPIZ GRAFITO N°2 HB REDONDO 12 UNIDADES FULTONS</t>
    </r>
  </si>
  <si>
    <r>
      <rPr>
        <sz val="11"/>
        <rFont val="Calibri"/>
        <family val="1"/>
      </rPr>
      <t>LAPIZ GRAFITO TECNICO</t>
    </r>
  </si>
  <si>
    <r>
      <rPr>
        <sz val="11"/>
        <rFont val="Calibri"/>
        <family val="1"/>
      </rPr>
      <t>LAPIZ PASTA AZUL 1.0MM 50 UNIDADES FULTONS</t>
    </r>
  </si>
  <si>
    <r>
      <rPr>
        <sz val="11"/>
        <rFont val="Calibri"/>
        <family val="1"/>
      </rPr>
      <t>LAPIZ PASTA CRISTAL AZUL PUNTA MEDIA 50 UNIDADES BIC</t>
    </r>
  </si>
  <si>
    <r>
      <rPr>
        <sz val="11"/>
        <rFont val="Calibri"/>
        <family val="1"/>
      </rPr>
      <t>LAPIZ PASTA CRISTAL NEGRO PUNTA MEDIA 50 UNIDADES BIC</t>
    </r>
  </si>
  <si>
    <r>
      <rPr>
        <sz val="11"/>
        <rFont val="Calibri"/>
        <family val="1"/>
      </rPr>
      <t>LAPIZ PASTA CRISTAL ROJO PUNTA MEDIA 50 UNIDADES BIC</t>
    </r>
  </si>
  <si>
    <r>
      <rPr>
        <sz val="11"/>
        <rFont val="Calibri"/>
        <family val="1"/>
      </rPr>
      <t>LAPIZ PASTA NEGRO 1.0MM 50 UNIDADES FULTONS</t>
    </r>
  </si>
  <si>
    <r>
      <rPr>
        <sz val="11"/>
        <rFont val="Calibri"/>
        <family val="1"/>
      </rPr>
      <t>LAPIZ PASTA ROJO 1.0MM 50 UNIDADES FULTONS</t>
    </r>
  </si>
  <si>
    <r>
      <rPr>
        <sz val="11"/>
        <rFont val="Calibri"/>
        <family val="1"/>
      </rPr>
      <t>LAPIZ SCRIPTO ARTEL</t>
    </r>
  </si>
  <si>
    <r>
      <rPr>
        <sz val="11"/>
        <rFont val="Calibri"/>
        <family val="1"/>
      </rPr>
      <t>LAPIZ TINTA GEL 0.7MM AZUL 12 UNIDADES LAVORO</t>
    </r>
  </si>
  <si>
    <r>
      <rPr>
        <sz val="11"/>
        <rFont val="Calibri"/>
        <family val="1"/>
      </rPr>
      <t>LAPIZ TINTA GEL 0.7MM NEGRO 12 UNIDADES LAVORO</t>
    </r>
  </si>
  <si>
    <r>
      <rPr>
        <sz val="11"/>
        <rFont val="Calibri"/>
        <family val="1"/>
      </rPr>
      <t>LAPIZ TINTA GEL 0.7MM ROJO 12 UNIDADES LAVORO</t>
    </r>
  </si>
  <si>
    <r>
      <rPr>
        <sz val="11"/>
        <rFont val="Calibri"/>
        <family val="1"/>
      </rPr>
      <t>LETRAS AUTOADHESIVAS GOMA EVA ART&amp;CRAFT</t>
    </r>
  </si>
  <si>
    <r>
      <rPr>
        <sz val="11"/>
        <rFont val="Calibri"/>
        <family val="1"/>
      </rPr>
      <t>LIMPIA PIPAS METÁLICAS 30 UNIDADES APROX ART&amp;CRAFT</t>
    </r>
  </si>
  <si>
    <r>
      <rPr>
        <sz val="11"/>
        <rFont val="Calibri"/>
        <family val="1"/>
      </rPr>
      <t>LIMPIA PIPAS SURTIDAS 30 UNIDADES APROX ART&amp;CRAFT</t>
    </r>
  </si>
  <si>
    <r>
      <rPr>
        <sz val="11"/>
        <rFont val="Calibri"/>
        <family val="1"/>
      </rPr>
      <t>LUPA 60MM ARTE TOP</t>
    </r>
  </si>
  <si>
    <r>
      <rPr>
        <sz val="11"/>
        <rFont val="Calibri"/>
        <family val="1"/>
      </rPr>
      <t>MARCADOR MULTIUSO NEGRO PUNTA MEDIA 12 UNIDADES</t>
    </r>
  </si>
  <si>
    <r>
      <rPr>
        <sz val="11"/>
        <rFont val="Calibri"/>
        <family val="1"/>
      </rPr>
      <t>MARCADOR PERMANENTE BISELADO AZUL 12 UNIDADES</t>
    </r>
  </si>
  <si>
    <r>
      <rPr>
        <sz val="11"/>
        <rFont val="Calibri"/>
        <family val="1"/>
      </rPr>
      <t>MARCADOR PERMANENTE BISELADO NEGRO 12 UNIDADES</t>
    </r>
  </si>
  <si>
    <r>
      <rPr>
        <sz val="11"/>
        <rFont val="Calibri"/>
        <family val="1"/>
      </rPr>
      <t>MARCADOR PERMANENTE BISELADO ROJO 12 UNIDADES</t>
    </r>
  </si>
  <si>
    <r>
      <rPr>
        <sz val="11"/>
        <rFont val="Calibri"/>
        <family val="1"/>
      </rPr>
      <t>MARCADOR PERMANENTE REDONDO AZUL 12 UNIDADES</t>
    </r>
  </si>
  <si>
    <r>
      <rPr>
        <sz val="11"/>
        <rFont val="Calibri"/>
        <family val="1"/>
      </rPr>
      <t>MARCADOR PERMANENTE REDONDO NEGRO 12 UNIDADES</t>
    </r>
  </si>
  <si>
    <r>
      <rPr>
        <sz val="11"/>
        <rFont val="Calibri"/>
        <family val="1"/>
      </rPr>
      <t>MARCADOR PERMANENTE REDONDO ROJO 12 UNIDADES</t>
    </r>
  </si>
  <si>
    <r>
      <rPr>
        <sz val="11"/>
        <rFont val="Calibri"/>
        <family val="1"/>
      </rPr>
      <t>MESCLADOR 4 DIVISIONES</t>
    </r>
  </si>
  <si>
    <r>
      <rPr>
        <sz val="11"/>
        <rFont val="Calibri"/>
        <family val="1"/>
      </rPr>
      <t>MESCLADOR 6 DIVISIONES</t>
    </r>
  </si>
  <si>
    <r>
      <rPr>
        <sz val="11"/>
        <rFont val="Calibri"/>
        <family val="1"/>
      </rPr>
      <t>MINAS 0.5MM HB 24 UNIDADES ISOFIT</t>
    </r>
  </si>
  <si>
    <r>
      <rPr>
        <sz val="11"/>
        <rFont val="Calibri"/>
        <family val="1"/>
      </rPr>
      <t>MINAS 0.7MM HB 24 UNIDADES ISOFIT</t>
    </r>
  </si>
  <si>
    <r>
      <rPr>
        <sz val="11"/>
        <rFont val="Calibri"/>
        <family val="1"/>
      </rPr>
      <t>MUEBLES PARA MAQUETA BAÑO 3 PIEZAS ART&amp;CRAFT</t>
    </r>
  </si>
  <si>
    <r>
      <rPr>
        <sz val="11"/>
        <rFont val="Calibri"/>
        <family val="1"/>
      </rPr>
      <t>MUEBLES PARA MAQUETA COCINA 3 PIEZAS ART&amp;CRAFT</t>
    </r>
  </si>
  <si>
    <r>
      <rPr>
        <sz val="11"/>
        <rFont val="Calibri"/>
        <family val="1"/>
      </rPr>
      <t>MUEBLES PARA MAQUETA COMEDOR 5 PIEZAS ART&amp;CRAFT</t>
    </r>
  </si>
  <si>
    <r>
      <rPr>
        <sz val="11"/>
        <rFont val="Calibri"/>
        <family val="1"/>
      </rPr>
      <t>MUEBLES PARA MAQUETA DORMITORIO 3 PIEZAS ART&amp;CRAFT</t>
    </r>
  </si>
  <si>
    <r>
      <rPr>
        <sz val="11"/>
        <rFont val="Calibri"/>
        <family val="1"/>
      </rPr>
      <t>MUEBLES PARA MAQUETA LIVING 4 PIEZAS ART&amp;CRAFT</t>
    </r>
  </si>
  <si>
    <r>
      <rPr>
        <sz val="11"/>
        <rFont val="Calibri"/>
        <family val="1"/>
      </rPr>
      <t>MUEBLES PARA MAQUETA SEÑALES DE TRANSITO 5 PIEZAS</t>
    </r>
  </si>
  <si>
    <r>
      <rPr>
        <sz val="11"/>
        <rFont val="Calibri"/>
        <family val="1"/>
      </rPr>
      <t>MUEBLES PARA MAQUETA TERRAZA 4 PIEZAS ART&amp;CRAFT</t>
    </r>
  </si>
  <si>
    <r>
      <rPr>
        <sz val="11"/>
        <rFont val="Calibri"/>
        <family val="1"/>
      </rPr>
      <t>NUMEROS GOMA EVA AUTOADHESIVOS 56 PIEZAS ART&amp;CRAFT</t>
    </r>
  </si>
  <si>
    <r>
      <rPr>
        <sz val="11"/>
        <rFont val="Calibri"/>
        <family val="1"/>
      </rPr>
      <t>PALO DE MAQUETA 8X8MM RAULI 50CMS 3 UNIDADES</t>
    </r>
  </si>
  <si>
    <r>
      <rPr>
        <sz val="11"/>
        <rFont val="Calibri"/>
        <family val="1"/>
      </rPr>
      <t>PALO DE MAQUETA 9X9MM RAULI 50CMS 2 UNIDADES</t>
    </r>
  </si>
  <si>
    <r>
      <rPr>
        <sz val="11"/>
        <rFont val="Calibri"/>
        <family val="1"/>
      </rPr>
      <t>PALO DE MAQUETA RAULI 10X10MM 50CMS 2 UNIDADES</t>
    </r>
  </si>
  <si>
    <r>
      <rPr>
        <sz val="11"/>
        <rFont val="Calibri"/>
        <family val="1"/>
      </rPr>
      <t>PALO DE MAQUETA RAULI 2X2MM 50CMS 8 UNIDADES</t>
    </r>
  </si>
  <si>
    <r>
      <rPr>
        <sz val="11"/>
        <rFont val="Calibri"/>
        <family val="1"/>
      </rPr>
      <t>PALO DE MAQUETA RAULI 3X3MM 50CMS 7 UNIDADES</t>
    </r>
  </si>
  <si>
    <r>
      <rPr>
        <sz val="11"/>
        <rFont val="Calibri"/>
        <family val="1"/>
      </rPr>
      <t>PALO DE MAQUETA RAULI 4X4MM 50CMS 6 UNIDADES</t>
    </r>
  </si>
  <si>
    <r>
      <rPr>
        <sz val="11"/>
        <rFont val="Calibri"/>
        <family val="1"/>
      </rPr>
      <t>PALO DE MAQUETA RAULI 5X5MM 50CMS 5 UNIDADES</t>
    </r>
  </si>
  <si>
    <r>
      <rPr>
        <sz val="11"/>
        <rFont val="Calibri"/>
        <family val="1"/>
      </rPr>
      <t>PALO DE MAQUETA RAULI 6X6MM 50CMS 4 UNIDADES</t>
    </r>
  </si>
  <si>
    <r>
      <rPr>
        <sz val="11"/>
        <rFont val="Calibri"/>
        <family val="1"/>
      </rPr>
      <t>PALO DE MAQUETA RAULI 7X7MM 50CMS 3 UNIDADES</t>
    </r>
  </si>
  <si>
    <r>
      <rPr>
        <sz val="11"/>
        <rFont val="Calibri"/>
        <family val="1"/>
      </rPr>
      <t>PALO DE MAQUETA REDONDO 10MM 50CMS 2 UNIDADES</t>
    </r>
  </si>
  <si>
    <r>
      <rPr>
        <sz val="11"/>
        <rFont val="Calibri"/>
        <family val="1"/>
      </rPr>
      <t>PALO DE MAQUETA REDONDO 12MM 50CMS 2 UNIDADES</t>
    </r>
  </si>
  <si>
    <r>
      <rPr>
        <sz val="11"/>
        <rFont val="Calibri"/>
        <family val="1"/>
      </rPr>
      <t>PALO DE MAQUETA REDONDO 6MM 50CMS 4 UNIDADES</t>
    </r>
  </si>
  <si>
    <r>
      <rPr>
        <sz val="11"/>
        <rFont val="Calibri"/>
        <family val="1"/>
      </rPr>
      <t>PALO DE MAQUETA REDONDO 8MM 50CMS 3 UNIDADES</t>
    </r>
  </si>
  <si>
    <r>
      <rPr>
        <sz val="11"/>
        <rFont val="Calibri"/>
        <family val="1"/>
      </rPr>
      <t>PALOS DE HELADO NATURAL</t>
    </r>
  </si>
  <si>
    <r>
      <rPr>
        <sz val="11"/>
        <rFont val="Calibri"/>
        <family val="1"/>
      </rPr>
      <t>PALOS DE HELADOS COLORES</t>
    </r>
  </si>
  <si>
    <r>
      <rPr>
        <sz val="11"/>
        <rFont val="Calibri"/>
        <family val="1"/>
      </rPr>
      <t>PAPEL ADHESIVO GLOSSY 180 GRAMOS OFICIO 100 H</t>
    </r>
  </si>
  <si>
    <r>
      <rPr>
        <sz val="11"/>
        <rFont val="Calibri"/>
        <family val="1"/>
      </rPr>
      <t>PAPEL ADHESIVO MATE 180 GRAMOS OFICIO 100</t>
    </r>
  </si>
  <si>
    <r>
      <rPr>
        <sz val="11"/>
        <rFont val="Calibri"/>
        <family val="1"/>
      </rPr>
      <t>PAPEL BOND</t>
    </r>
  </si>
  <si>
    <r>
      <rPr>
        <sz val="11"/>
        <rFont val="Calibri"/>
        <family val="1"/>
      </rPr>
      <t>PAPEL CALCO TAMAÑO OFICIO 25 HOJAS NEGRO FULTONS</t>
    </r>
  </si>
  <si>
    <r>
      <rPr>
        <sz val="11"/>
        <rFont val="Calibri"/>
        <family val="1"/>
      </rPr>
      <t>PAPEL CRAFT</t>
    </r>
  </si>
  <si>
    <r>
      <rPr>
        <sz val="11"/>
        <rFont val="Calibri"/>
        <family val="1"/>
      </rPr>
      <t>PAPEL CREPE</t>
    </r>
  </si>
  <si>
    <r>
      <rPr>
        <sz val="11"/>
        <rFont val="Calibri"/>
        <family val="1"/>
      </rPr>
      <t>PAPEL LUSTRE 10X10</t>
    </r>
  </si>
  <si>
    <r>
      <rPr>
        <sz val="11"/>
        <rFont val="Calibri"/>
        <family val="1"/>
      </rPr>
      <t>PAPEL LUSTRE 16X16</t>
    </r>
  </si>
  <si>
    <r>
      <rPr>
        <sz val="11"/>
        <rFont val="Calibri"/>
        <family val="1"/>
      </rPr>
      <t>PAPEL MANTEQUILLA 80X100CMS 40GRS 100 UNI</t>
    </r>
  </si>
  <si>
    <r>
      <rPr>
        <sz val="11"/>
        <rFont val="Calibri"/>
        <family val="1"/>
      </rPr>
      <t>PAPEL MILIMETRADO OFICIO</t>
    </r>
  </si>
  <si>
    <r>
      <rPr>
        <sz val="11"/>
        <rFont val="Calibri"/>
        <family val="1"/>
      </rPr>
      <t>PASTA PARA MODELAR BLANCA 250 GRAMOS DAS</t>
    </r>
  </si>
  <si>
    <r>
      <rPr>
        <sz val="11"/>
        <rFont val="Calibri"/>
        <family val="1"/>
      </rPr>
      <t>PEGAMENTO EN BARRA 21 GRAMOS 12 UNIDADES</t>
    </r>
  </si>
  <si>
    <r>
      <rPr>
        <sz val="11"/>
        <rFont val="Calibri"/>
        <family val="1"/>
      </rPr>
      <t>PEGAMENTO EN BARRA 8 GR 24 UN PROARTE</t>
    </r>
  </si>
  <si>
    <r>
      <rPr>
        <sz val="11"/>
        <rFont val="Calibri"/>
        <family val="1"/>
      </rPr>
      <t>PINCEL N°10 ESPATULADO 6 UNIDADES ART&amp;CRAFT</t>
    </r>
  </si>
  <si>
    <r>
      <rPr>
        <sz val="11"/>
        <rFont val="Calibri"/>
        <family val="1"/>
      </rPr>
      <t>PINCEL N°10 PELO CAMELLO 6 UNIDADES ART&amp;CRAFT</t>
    </r>
  </si>
  <si>
    <r>
      <rPr>
        <sz val="11"/>
        <rFont val="Calibri"/>
        <family val="1"/>
      </rPr>
      <t>PINCEL N°12 ESPATULADO 6 UNIDADES ART&amp;CRAFT</t>
    </r>
  </si>
  <si>
    <r>
      <rPr>
        <sz val="11"/>
        <rFont val="Calibri"/>
        <family val="1"/>
      </rPr>
      <t>PINCEL N°12 PELO CAMELLO 6 UNIDADES ART&amp;CRAFT</t>
    </r>
  </si>
  <si>
    <r>
      <rPr>
        <sz val="11"/>
        <rFont val="Calibri"/>
        <family val="1"/>
      </rPr>
      <t>PINCEL N°2 ESPATULADO 12 UNIDADES ART&amp;CRAFT</t>
    </r>
  </si>
  <si>
    <r>
      <rPr>
        <sz val="11"/>
        <rFont val="Calibri"/>
        <family val="1"/>
      </rPr>
      <t>PINCEL N°2 PELO CAMELLO 12 UNIDADES ART&amp;CRAFT</t>
    </r>
  </si>
  <si>
    <r>
      <rPr>
        <sz val="11"/>
        <rFont val="Calibri"/>
        <family val="1"/>
      </rPr>
      <t>PINCEL N°4 ESPATULADO 12 UNIDADES ART&amp;CRAFT</t>
    </r>
  </si>
  <si>
    <r>
      <rPr>
        <sz val="11"/>
        <rFont val="Calibri"/>
        <family val="1"/>
      </rPr>
      <t>PINCEL N°4 PELO CAMELLO 12 UNIDADES ART&amp;CRAFT</t>
    </r>
  </si>
  <si>
    <r>
      <rPr>
        <sz val="11"/>
        <rFont val="Calibri"/>
        <family val="1"/>
      </rPr>
      <t>PINCEL N°8 ESPATULADO 12 UNIDADES ART&amp;CRAFT</t>
    </r>
  </si>
  <si>
    <r>
      <rPr>
        <sz val="11"/>
        <rFont val="Calibri"/>
        <family val="1"/>
      </rPr>
      <t>PINCEL N°8 PELO CAMELLO 12 UNIDADES ART&amp;CRAFT</t>
    </r>
  </si>
  <si>
    <r>
      <rPr>
        <sz val="11"/>
        <rFont val="Calibri"/>
        <family val="1"/>
      </rPr>
      <t>PINZAS DE MADERA 45 UNIDADES ART &amp; CRAFT</t>
    </r>
  </si>
  <si>
    <r>
      <rPr>
        <sz val="11"/>
        <rFont val="Calibri"/>
        <family val="1"/>
      </rPr>
      <t>PLASTICINA 12 COLORES TRIANGULAR FULTONS</t>
    </r>
  </si>
  <si>
    <r>
      <rPr>
        <sz val="11"/>
        <rFont val="Calibri"/>
        <family val="1"/>
      </rPr>
      <t>PLASTICINA ECONIMICA</t>
    </r>
  </si>
  <si>
    <r>
      <rPr>
        <sz val="11"/>
        <rFont val="Calibri"/>
        <family val="1"/>
      </rPr>
      <t>PLASTICINA TRIANGULAR</t>
    </r>
  </si>
  <si>
    <r>
      <rPr>
        <sz val="11"/>
        <rFont val="Calibri"/>
        <family val="1"/>
      </rPr>
      <t>PLUMAS BLANCAS 10 A 15CM 50 PIEZAS ART&amp;CRAFT</t>
    </r>
  </si>
  <si>
    <r>
      <rPr>
        <sz val="11"/>
        <rFont val="Calibri"/>
        <family val="1"/>
      </rPr>
      <t>PLUMAS LARGAS 10-15 CMS 50 UNIDADES ART &amp; CRAFT</t>
    </r>
  </si>
  <si>
    <r>
      <rPr>
        <sz val="11"/>
        <rFont val="Calibri"/>
        <family val="1"/>
      </rPr>
      <t>PLUMON 12 COLORES MURANO</t>
    </r>
  </si>
  <si>
    <r>
      <rPr>
        <sz val="11"/>
        <rFont val="Calibri"/>
        <family val="1"/>
      </rPr>
      <t>PLUMON PIZARRA AZUL 12 UNIDADES FULTONS</t>
    </r>
  </si>
  <si>
    <r>
      <rPr>
        <sz val="11"/>
        <rFont val="Calibri"/>
        <family val="1"/>
      </rPr>
      <t>PLUMON PIZARRA NEGRO 12 UNIDADES FULTONS</t>
    </r>
  </si>
  <si>
    <r>
      <rPr>
        <sz val="11"/>
        <rFont val="Calibri"/>
        <family val="1"/>
      </rPr>
      <t>PLUMON PIZARRA ROJO 12 UNIDADES FULTONS</t>
    </r>
  </si>
  <si>
    <r>
      <rPr>
        <sz val="11"/>
        <rFont val="Calibri"/>
        <family val="1"/>
      </rPr>
      <t>PLUMON PIZARRA VERDE 12 UNIDADES FULTONS</t>
    </r>
  </si>
  <si>
    <r>
      <rPr>
        <sz val="11"/>
        <rFont val="Calibri"/>
        <family val="1"/>
      </rPr>
      <t>PLUMON SCRIPTO 6 COLORES FULTON</t>
    </r>
  </si>
  <si>
    <r>
      <rPr>
        <sz val="11"/>
        <rFont val="Calibri"/>
        <family val="1"/>
      </rPr>
      <t>PORTAMINAS 0.5 NEGRO/AZUL 12 UNIDADES LAVORO</t>
    </r>
  </si>
  <si>
    <r>
      <rPr>
        <sz val="11"/>
        <rFont val="Calibri"/>
        <family val="1"/>
      </rPr>
      <t>PORTAMINAS 0.7MM COLOR SURTIDO 12 UNIDADES LAVORO</t>
    </r>
  </si>
  <si>
    <r>
      <rPr>
        <sz val="11"/>
        <rFont val="Calibri"/>
        <family val="1"/>
      </rPr>
      <t>REGLA ACRILICA 15CM FULTONS</t>
    </r>
  </si>
  <si>
    <r>
      <rPr>
        <sz val="11"/>
        <rFont val="Calibri"/>
        <family val="1"/>
      </rPr>
      <t>REGLA METALICA 15CMS FULTONS</t>
    </r>
  </si>
  <si>
    <r>
      <rPr>
        <sz val="11"/>
        <rFont val="Calibri"/>
        <family val="1"/>
      </rPr>
      <t>REGLA METALICA 30CMS FULTONS</t>
    </r>
  </si>
  <si>
    <r>
      <rPr>
        <sz val="11"/>
        <rFont val="Calibri"/>
        <family val="1"/>
      </rPr>
      <t>REGLA PLASTICA 20CMS FULTONS</t>
    </r>
  </si>
  <si>
    <r>
      <rPr>
        <sz val="11"/>
        <rFont val="Calibri"/>
        <family val="1"/>
      </rPr>
      <t>REGLA PLASTICA 30CMS FULTONS</t>
    </r>
  </si>
  <si>
    <r>
      <rPr>
        <sz val="11"/>
        <rFont val="Calibri"/>
        <family val="1"/>
      </rPr>
      <t>RESMA TAMAÑO CARTA</t>
    </r>
  </si>
  <si>
    <r>
      <rPr>
        <sz val="11"/>
        <rFont val="Calibri"/>
        <family val="1"/>
      </rPr>
      <t>SACAPUNTA PLAST C/DEP OVALADO 12 UN PROARTE</t>
    </r>
  </si>
  <si>
    <r>
      <rPr>
        <sz val="11"/>
        <rFont val="Calibri"/>
        <family val="1"/>
      </rPr>
      <t>SACAPUNTAS DOBLE 12 UNIDADES PAX</t>
    </r>
  </si>
  <si>
    <r>
      <rPr>
        <sz val="11"/>
        <rFont val="Calibri"/>
        <family val="1"/>
      </rPr>
      <t>SISTEMA SOLAR 10 PIEZAS ARTE TOP</t>
    </r>
  </si>
  <si>
    <r>
      <rPr>
        <sz val="11"/>
        <rFont val="Calibri"/>
        <family val="1"/>
      </rPr>
      <t>SOBRE 1/2 OFICIO BLANCO 25 UNIDADES FULTONS</t>
    </r>
  </si>
  <si>
    <r>
      <rPr>
        <sz val="11"/>
        <rFont val="Calibri"/>
        <family val="1"/>
      </rPr>
      <t>SOBRE AMERICANO 22,8X10.7 CM 70 GRS BLANCO 25</t>
    </r>
  </si>
  <si>
    <r>
      <rPr>
        <sz val="11"/>
        <rFont val="Calibri"/>
        <family val="1"/>
      </rPr>
      <t>SOBRE CARTA 15.4X12.4CM BLANCO 25 UNIDADES NUOVO</t>
    </r>
  </si>
  <si>
    <r>
      <rPr>
        <sz val="11"/>
        <rFont val="Calibri"/>
        <family val="1"/>
      </rPr>
      <t>TAMPON DE HUELLA DACTILAR FULTONS</t>
    </r>
  </si>
  <si>
    <r>
      <rPr>
        <sz val="11"/>
        <rFont val="Calibri"/>
        <family val="1"/>
      </rPr>
      <t>TEMPERA 12 COLORES 15MM</t>
    </r>
  </si>
  <si>
    <r>
      <rPr>
        <sz val="11"/>
        <rFont val="Calibri"/>
        <family val="1"/>
      </rPr>
      <t>TEMPERA 12 COLORES 22MM</t>
    </r>
  </si>
  <si>
    <r>
      <rPr>
        <sz val="11"/>
        <rFont val="Calibri"/>
        <family val="1"/>
      </rPr>
      <t>TEMPERA 6 COLORES 15MM</t>
    </r>
  </si>
  <si>
    <r>
      <rPr>
        <sz val="11"/>
        <rFont val="Calibri"/>
        <family val="1"/>
      </rPr>
      <t>TEMPERA 6 COLORES TORRE</t>
    </r>
  </si>
  <si>
    <r>
      <rPr>
        <sz val="11"/>
        <rFont val="Calibri"/>
        <family val="1"/>
      </rPr>
      <t>TIJERA ESCOLAR 13CMS NEGRO PUNTA ROMA</t>
    </r>
  </si>
  <si>
    <r>
      <rPr>
        <sz val="11"/>
        <rFont val="Calibri"/>
        <family val="1"/>
      </rPr>
      <t>TIJERA ESCOLAR MANGO NARANJA PROARTE</t>
    </r>
  </si>
  <si>
    <r>
      <rPr>
        <sz val="11"/>
        <rFont val="Calibri"/>
        <family val="1"/>
      </rPr>
      <t>TIJERA ESCOLAR PARA ZURDOS BLISTER FULTONS</t>
    </r>
  </si>
  <si>
    <r>
      <rPr>
        <sz val="11"/>
        <rFont val="Calibri"/>
        <family val="1"/>
      </rPr>
      <t>TIRALINEAS 0.3 NEGRO 12 UN PROARTE</t>
    </r>
  </si>
  <si>
    <r>
      <rPr>
        <sz val="11"/>
        <rFont val="Calibri"/>
        <family val="1"/>
      </rPr>
      <t>TIRALINEAS 0.5 NEGRO 12 UN PROARTE</t>
    </r>
  </si>
  <si>
    <r>
      <rPr>
        <sz val="11"/>
        <rFont val="Calibri"/>
        <family val="1"/>
      </rPr>
      <t>TIRALINEAS 0.7 NEGRO 12 UNIDADES PROARTE</t>
    </r>
  </si>
  <si>
    <r>
      <rPr>
        <sz val="11"/>
        <rFont val="Calibri"/>
        <family val="1"/>
      </rPr>
      <t>TIZA 100 UNIDADES COLORES ART&amp;CRAFT</t>
    </r>
  </si>
  <si>
    <r>
      <rPr>
        <sz val="11"/>
        <rFont val="Calibri"/>
        <family val="1"/>
      </rPr>
      <t>TIZA CAJA BLANCA ART&amp;CRAFT</t>
    </r>
  </si>
  <si>
    <r>
      <rPr>
        <sz val="11"/>
        <rFont val="Calibri"/>
        <family val="1"/>
      </rPr>
      <t>TRANSPORTADOR 180º 10CM BISELADO FULTONS</t>
    </r>
  </si>
  <si>
    <r>
      <rPr>
        <sz val="11"/>
        <rFont val="Calibri"/>
        <family val="1"/>
      </rPr>
      <t>CROQUERA DOBLE FAZ ESPIRAL OFICIO 50 HOJAS ARTE TOP</t>
    </r>
  </si>
  <si>
    <r>
      <rPr>
        <sz val="11"/>
        <rFont val="Calibri"/>
        <family val="1"/>
      </rPr>
      <t>PINCEL N°6 PELO CAMELLO 12 UNIDADES ART&amp;CRAFT</t>
    </r>
  </si>
  <si>
    <r>
      <rPr>
        <sz val="11"/>
        <rFont val="Calibri"/>
        <family val="1"/>
      </rPr>
      <t>PINCEL N°6 ESPATULADO 12 UNIDADES ART&amp;CRAFT</t>
    </r>
  </si>
  <si>
    <r>
      <rPr>
        <sz val="11"/>
        <rFont val="Calibri"/>
        <family val="1"/>
      </rPr>
      <t>PLUMON SCRIPTO 12 COLORES FULTONS</t>
    </r>
  </si>
  <si>
    <r>
      <rPr>
        <sz val="11"/>
        <rFont val="Calibri"/>
        <family val="1"/>
      </rPr>
      <t>CINTA DOBLE CONTACTO 18MMX13.7MTS 1 UNIDAD LAVORO</t>
    </r>
  </si>
  <si>
    <r>
      <rPr>
        <sz val="11"/>
        <rFont val="Calibri"/>
        <family val="1"/>
      </rPr>
      <t>CINTA ADHESIVA ANCHA 12MMX60MTS 12 UNIDADES NUOVO</t>
    </r>
  </si>
  <si>
    <r>
      <rPr>
        <sz val="11"/>
        <rFont val="Calibri"/>
        <family val="1"/>
      </rPr>
      <t>CINTA DE ENMASCARAR VERDE 24MMX20MTS LAVORO</t>
    </r>
  </si>
  <si>
    <r>
      <rPr>
        <sz val="11"/>
        <rFont val="Calibri"/>
        <family val="1"/>
      </rPr>
      <t>CINTA DE ENMASCARAR AMARILLO 24MMX20MT LAVORO</t>
    </r>
  </si>
  <si>
    <r>
      <rPr>
        <sz val="11"/>
        <rFont val="Calibri"/>
        <family val="1"/>
      </rPr>
      <t>CINTA DE ENMASCARAR CELESTE 24MMX20MTS LAVORO</t>
    </r>
  </si>
  <si>
    <r>
      <rPr>
        <sz val="11"/>
        <rFont val="Calibri"/>
        <family val="1"/>
      </rPr>
      <t>CINTA DE ENMASCARAR MORADO 24MMX20MTS LAVORO</t>
    </r>
  </si>
  <si>
    <r>
      <rPr>
        <sz val="11"/>
        <rFont val="Calibri"/>
        <family val="1"/>
      </rPr>
      <t>CINTA DE ENMASCARAR ROJA 18MMX20MTS USATAPE</t>
    </r>
  </si>
  <si>
    <r>
      <rPr>
        <sz val="11"/>
        <rFont val="Calibri"/>
        <family val="1"/>
      </rPr>
      <t>CINTA DE MONTAJE DOBLE CONTACTO 18MMX6MTS PALA</t>
    </r>
  </si>
  <si>
    <r>
      <rPr>
        <sz val="11"/>
        <rFont val="Calibri"/>
        <family val="1"/>
      </rPr>
      <t>CINTA DE ENMASCARAR AZUL 24MMX20MTS LAVORO</t>
    </r>
  </si>
  <si>
    <r>
      <rPr>
        <sz val="11"/>
        <rFont val="Calibri"/>
        <family val="1"/>
      </rPr>
      <t>CORCHETERA GRANDE 15 CM PLASTICA NUOVO</t>
    </r>
  </si>
  <si>
    <r>
      <rPr>
        <sz val="11"/>
        <rFont val="Calibri"/>
        <family val="1"/>
      </rPr>
      <t>PERFORADORA PEQUEÑA NEGRA BASE PLASTICA FULTONS</t>
    </r>
  </si>
  <si>
    <r>
      <rPr>
        <sz val="11"/>
        <rFont val="Calibri"/>
        <family val="1"/>
      </rPr>
      <t>OPALINA OFICIO LISA 200 GR 100 HOJAS DIAZOL</t>
    </r>
  </si>
  <si>
    <r>
      <rPr>
        <sz val="11"/>
        <rFont val="Calibri"/>
        <family val="1"/>
      </rPr>
      <t>CUADERNO COLLEGE CALIGRAFIA HORIZONTAL 80 HOJAS 10 UNIDADES ROSS</t>
    </r>
  </si>
  <si>
    <r>
      <rPr>
        <sz val="11"/>
        <rFont val="Calibri"/>
        <family val="1"/>
      </rPr>
      <t>GREDA 1 KILO APROX</t>
    </r>
  </si>
  <si>
    <r>
      <rPr>
        <sz val="11"/>
        <rFont val="Calibri"/>
        <family val="1"/>
      </rPr>
      <t>PEGAMENTO EN BARRA 36 GRAMOS 12 UNIDADES PROARTE</t>
    </r>
  </si>
  <si>
    <r>
      <rPr>
        <sz val="11"/>
        <rFont val="Calibri"/>
        <family val="1"/>
      </rPr>
      <t>ESCUADRA 20CM 45° 1 UNIDAD FULTONS</t>
    </r>
  </si>
  <si>
    <r>
      <rPr>
        <sz val="11"/>
        <rFont val="Calibri"/>
        <family val="1"/>
      </rPr>
      <t>ESCUADRA ACRILICA 60° 22CM FULTONS</t>
    </r>
  </si>
  <si>
    <r>
      <rPr>
        <sz val="11"/>
        <rFont val="Calibri"/>
        <family val="1"/>
      </rPr>
      <t>ESCUADRA BISELADA 25CM 60º PROARTE</t>
    </r>
  </si>
  <si>
    <r>
      <rPr>
        <sz val="11"/>
        <rFont val="Calibri"/>
        <family val="1"/>
      </rPr>
      <t>CORCHETES 23/6 1000 UNIDADES ISOFIT</t>
    </r>
  </si>
  <si>
    <r>
      <rPr>
        <sz val="11"/>
        <rFont val="Calibri"/>
        <family val="1"/>
      </rPr>
      <t>CORCHETES 26/6 5000 UNIDADES ISOFIT</t>
    </r>
  </si>
  <si>
    <r>
      <rPr>
        <sz val="11"/>
        <rFont val="Calibri"/>
        <family val="1"/>
      </rPr>
      <t>CORCHETERA MINI ROJO + CORCHETES FULTONS</t>
    </r>
  </si>
  <si>
    <r>
      <rPr>
        <sz val="11"/>
        <rFont val="Calibri"/>
        <family val="1"/>
      </rPr>
      <t>LAPICES GRAFITOS DE DIBUJO SURTIDOS 12 UNIDADES ARTE TOP</t>
    </r>
  </si>
  <si>
    <r>
      <rPr>
        <sz val="11"/>
        <rFont val="Calibri"/>
        <family val="1"/>
      </rPr>
      <t>CUADERNO COLLEGE COMPOSICION 80 HOJAS 10 UNIDADES ROSS</t>
    </r>
  </si>
  <si>
    <r>
      <rPr>
        <sz val="11"/>
        <rFont val="Calibri"/>
        <family val="1"/>
      </rPr>
      <t>LAPICES 12 COLORES ACUARELABLES GIOTTO</t>
    </r>
  </si>
  <si>
    <r>
      <rPr>
        <sz val="11"/>
        <rFont val="Calibri"/>
        <family val="1"/>
      </rPr>
      <t>LAPICES 12 COLORES JUMBO HEXAGONALES LAVORO</t>
    </r>
  </si>
  <si>
    <r>
      <rPr>
        <sz val="11"/>
        <rFont val="Calibri"/>
        <family val="1"/>
      </rPr>
      <t>ESTUCHE PAPEL VOLANTIN 9 HJS PROARTE</t>
    </r>
  </si>
  <si>
    <r>
      <rPr>
        <sz val="11"/>
        <rFont val="Calibri"/>
        <family val="1"/>
      </rPr>
      <t>LAPIZ GRAFITO TRIANGULAR JUMBO 6 UNIDADES LAVORO</t>
    </r>
  </si>
  <si>
    <r>
      <rPr>
        <sz val="11"/>
        <rFont val="Calibri"/>
        <family val="1"/>
      </rPr>
      <t>TIRALINEAS 0.1 NEGRO 12 UNIDADES PROARTE</t>
    </r>
  </si>
  <si>
    <r>
      <rPr>
        <sz val="11"/>
        <rFont val="Calibri"/>
        <family val="1"/>
      </rPr>
      <t>CUADERNO COLLEGE 5MM 80 HOJAS 10 UNIDADES ROSS</t>
    </r>
  </si>
  <si>
    <r>
      <rPr>
        <sz val="11"/>
        <rFont val="Calibri"/>
        <family val="1"/>
      </rPr>
      <t>CUADERNO UNIVERSITARIO 7MM 100 HOJAS 10 UNIDADES PROARTE</t>
    </r>
  </si>
  <si>
    <r>
      <rPr>
        <sz val="11"/>
        <rFont val="Calibri"/>
        <family val="1"/>
      </rPr>
      <t>PISTOLA DE SILICONA 10WTS CON INTERRUPTOR LAVORO</t>
    </r>
  </si>
  <si>
    <r>
      <rPr>
        <sz val="11"/>
        <rFont val="Calibri"/>
        <family val="1"/>
      </rPr>
      <t>PEGAMENTO EN BARRA 21 GRAMOS 12 UNIDADES PROARTE</t>
    </r>
  </si>
  <si>
    <r>
      <rPr>
        <sz val="11"/>
        <rFont val="Calibri"/>
        <family val="1"/>
      </rPr>
      <t>LAPIZ GRAFITO HEXAGONAL HB N°2 - 12 UNIDADES PROARTE</t>
    </r>
  </si>
  <si>
    <r>
      <rPr>
        <sz val="11"/>
        <rFont val="Calibri"/>
        <family val="1"/>
      </rPr>
      <t>LAPICES GRAFITO TRIANGULAR HB N°2 PROARTE</t>
    </r>
  </si>
  <si>
    <r>
      <rPr>
        <sz val="11"/>
        <rFont val="Calibri"/>
        <family val="1"/>
      </rPr>
      <t>TIJERA ESCOLAR CON CLIP LAVORO</t>
    </r>
  </si>
  <si>
    <r>
      <rPr>
        <sz val="11"/>
        <rFont val="Calibri"/>
        <family val="1"/>
      </rPr>
      <t>LAPICES COLORES 12+2 GRAFITO PROARTE</t>
    </r>
  </si>
  <si>
    <r>
      <rPr>
        <sz val="11"/>
        <rFont val="Calibri"/>
        <family val="1"/>
      </rPr>
      <t>TIZA JUMBO 6 COLORES FLUOR ART&amp;CRAFT</t>
    </r>
  </si>
  <si>
    <r>
      <rPr>
        <sz val="11"/>
        <rFont val="Calibri"/>
        <family val="1"/>
      </rPr>
      <t>FRASCO ESCARCHA GLITTER 6 COLORES 80 GRS ART&amp;CRAFT</t>
    </r>
  </si>
  <si>
    <r>
      <rPr>
        <sz val="11"/>
        <rFont val="Calibri"/>
        <family val="1"/>
      </rPr>
      <t>CUADERNO UNIVERSITARIO CROQUIS LISO (HOJA BLANCA) 100 HOJAS 10</t>
    </r>
  </si>
  <si>
    <r>
      <rPr>
        <sz val="11"/>
        <rFont val="Calibri"/>
        <family val="1"/>
      </rPr>
      <t>CUADERNO UNIVERSITARIO CAPITAN TSUBASA 100 HOJAS 10</t>
    </r>
  </si>
  <si>
    <r>
      <rPr>
        <sz val="11"/>
        <rFont val="Calibri"/>
        <family val="1"/>
      </rPr>
      <t>SET LANAS 5 COLORES 1 AGUJA PLAST ART &amp; CRAFT</t>
    </r>
  </si>
  <si>
    <r>
      <rPr>
        <sz val="11"/>
        <rFont val="Calibri"/>
        <family val="1"/>
      </rPr>
      <t>TARJETA KARDEX 12.5X20.5CMS 25 UNIDADES FULTONS</t>
    </r>
  </si>
  <si>
    <r>
      <rPr>
        <sz val="11"/>
        <rFont val="Calibri"/>
        <family val="1"/>
      </rPr>
      <t>ALFILER METALICO</t>
    </r>
  </si>
  <si>
    <r>
      <rPr>
        <sz val="11"/>
        <rFont val="Calibri"/>
        <family val="1"/>
      </rPr>
      <t>BAYMAX</t>
    </r>
  </si>
  <si>
    <r>
      <rPr>
        <sz val="11"/>
        <rFont val="Calibri"/>
        <family val="1"/>
      </rPr>
      <t>block dibujo 99 1/8</t>
    </r>
  </si>
  <si>
    <r>
      <rPr>
        <sz val="11"/>
        <rFont val="Calibri"/>
        <family val="1"/>
      </rPr>
      <t>block dibujo liceo murano</t>
    </r>
  </si>
  <si>
    <r>
      <rPr>
        <sz val="11"/>
        <rFont val="Calibri"/>
        <family val="1"/>
      </rPr>
      <t>CARPETA CARTULINA</t>
    </r>
  </si>
  <si>
    <r>
      <rPr>
        <sz val="11"/>
        <rFont val="Calibri"/>
        <family val="1"/>
      </rPr>
      <t>CARPETA CARTULINA ESPAÑOLA</t>
    </r>
  </si>
  <si>
    <r>
      <rPr>
        <sz val="11"/>
        <rFont val="Calibri"/>
        <family val="1"/>
      </rPr>
      <t>carpeta cartulina fluor</t>
    </r>
  </si>
  <si>
    <r>
      <rPr>
        <sz val="11"/>
        <rFont val="Calibri"/>
        <family val="1"/>
      </rPr>
      <t>carpeta con elastico</t>
    </r>
  </si>
  <si>
    <r>
      <rPr>
        <sz val="11"/>
        <rFont val="Calibri"/>
        <family val="1"/>
      </rPr>
      <t>CARPETA GOMA</t>
    </r>
  </si>
  <si>
    <r>
      <rPr>
        <sz val="11"/>
        <rFont val="Calibri"/>
        <family val="1"/>
      </rPr>
      <t>CARPETA NARANJA RHEIN</t>
    </r>
  </si>
  <si>
    <r>
      <rPr>
        <sz val="11"/>
        <rFont val="Calibri"/>
        <family val="1"/>
      </rPr>
      <t>carpeta plastificada oficio</t>
    </r>
  </si>
  <si>
    <r>
      <rPr>
        <sz val="11"/>
        <rFont val="Calibri"/>
        <family val="1"/>
      </rPr>
      <t>CARTON FORRADO</t>
    </r>
  </si>
  <si>
    <r>
      <rPr>
        <sz val="11"/>
        <rFont val="Calibri"/>
        <family val="1"/>
      </rPr>
      <t>CARTULINA ESPAÑOLA</t>
    </r>
  </si>
  <si>
    <r>
      <rPr>
        <sz val="11"/>
        <rFont val="Calibri"/>
        <family val="1"/>
      </rPr>
      <t>CHINCHE</t>
    </r>
  </si>
  <si>
    <r>
      <rPr>
        <sz val="11"/>
        <rFont val="Calibri"/>
        <family val="1"/>
      </rPr>
      <t>CORRECTOR FULTON LAPIZ</t>
    </r>
  </si>
  <si>
    <r>
      <rPr>
        <sz val="11"/>
        <rFont val="Calibri"/>
        <family val="1"/>
      </rPr>
      <t>cuadernillo 7mm</t>
    </r>
  </si>
  <si>
    <r>
      <rPr>
        <sz val="11"/>
        <rFont val="Calibri"/>
        <family val="1"/>
      </rPr>
      <t>cuaderno college 7mm 100</t>
    </r>
  </si>
  <si>
    <r>
      <rPr>
        <sz val="11"/>
        <rFont val="Calibri"/>
        <family val="1"/>
      </rPr>
      <t>cuaderno college 7mm 80</t>
    </r>
  </si>
  <si>
    <r>
      <rPr>
        <sz val="11"/>
        <rFont val="Calibri"/>
        <family val="1"/>
      </rPr>
      <t>cuaderno college liso croquis</t>
    </r>
  </si>
  <si>
    <r>
      <rPr>
        <sz val="11"/>
        <rFont val="Calibri"/>
        <family val="1"/>
      </rPr>
      <t>Cuaderno college mat 80</t>
    </r>
  </si>
  <si>
    <r>
      <rPr>
        <sz val="11"/>
        <rFont val="Calibri"/>
        <family val="1"/>
      </rPr>
      <t>ECOLAPIZ</t>
    </r>
  </si>
  <si>
    <r>
      <rPr>
        <sz val="11"/>
        <rFont val="Calibri"/>
        <family val="1"/>
      </rPr>
      <t>ESTUCHE CARTON PIEDRA</t>
    </r>
  </si>
  <si>
    <r>
      <rPr>
        <sz val="11"/>
        <rFont val="Calibri"/>
        <family val="1"/>
      </rPr>
      <t>ETIQUETA INSENTIVOS</t>
    </r>
  </si>
  <si>
    <r>
      <rPr>
        <sz val="11"/>
        <rFont val="Calibri"/>
        <family val="1"/>
      </rPr>
      <t>FLAUTA DULCE</t>
    </r>
  </si>
  <si>
    <r>
      <rPr>
        <sz val="11"/>
        <rFont val="Calibri"/>
        <family val="1"/>
      </rPr>
      <t>GOMA EVA 60X40</t>
    </r>
  </si>
  <si>
    <r>
      <rPr>
        <sz val="11"/>
        <rFont val="Calibri"/>
        <family val="1"/>
      </rPr>
      <t>GOMA EVA 60X41 GLITTER</t>
    </r>
  </si>
  <si>
    <r>
      <rPr>
        <sz val="11"/>
        <rFont val="Calibri"/>
        <family val="1"/>
      </rPr>
      <t>GRAFITO 4H</t>
    </r>
  </si>
  <si>
    <r>
      <rPr>
        <sz val="11"/>
        <rFont val="Calibri"/>
        <family val="1"/>
      </rPr>
      <t>GRAFITO 6H</t>
    </r>
  </si>
  <si>
    <r>
      <rPr>
        <sz val="11"/>
        <rFont val="Calibri"/>
        <family val="1"/>
      </rPr>
      <t>HILO DE PESCAR</t>
    </r>
  </si>
  <si>
    <r>
      <rPr>
        <sz val="11"/>
        <rFont val="Calibri"/>
        <family val="1"/>
      </rPr>
      <t>LAPICES COLORES JUMBO MURANO</t>
    </r>
  </si>
  <si>
    <r>
      <rPr>
        <sz val="11"/>
        <rFont val="Calibri"/>
        <family val="1"/>
      </rPr>
      <t>LAPIZ  GRAFITO TRIANGULAR JUMBO</t>
    </r>
  </si>
  <si>
    <r>
      <rPr>
        <sz val="11"/>
        <rFont val="Calibri"/>
        <family val="1"/>
      </rPr>
      <t>LAPIZ GRAFITO TECNICO 6B</t>
    </r>
  </si>
  <si>
    <r>
      <rPr>
        <sz val="11"/>
        <rFont val="Calibri"/>
        <family val="1"/>
      </rPr>
      <t>MARCADOR DE PIZARRA</t>
    </r>
  </si>
  <si>
    <r>
      <rPr>
        <sz val="11"/>
        <rFont val="Calibri"/>
        <family val="1"/>
      </rPr>
      <t>PALO HELADO COLOR JUMBO</t>
    </r>
  </si>
  <si>
    <r>
      <rPr>
        <sz val="11"/>
        <rFont val="Calibri"/>
        <family val="1"/>
      </rPr>
      <t>PALO HLADO NATURAL</t>
    </r>
  </si>
  <si>
    <r>
      <rPr>
        <sz val="11"/>
        <rFont val="Calibri"/>
        <family val="1"/>
      </rPr>
      <t>PAPEL FOTOCOPIA OFICIO</t>
    </r>
  </si>
  <si>
    <r>
      <rPr>
        <sz val="11"/>
        <rFont val="Calibri"/>
        <family val="1"/>
      </rPr>
      <t>PAPEL FOTOCOPIADORA OFCIO</t>
    </r>
  </si>
  <si>
    <r>
      <rPr>
        <sz val="11"/>
        <rFont val="Calibri"/>
        <family val="1"/>
      </rPr>
      <t>PAPEL LUSTR 10 X10</t>
    </r>
  </si>
  <si>
    <r>
      <rPr>
        <sz val="11"/>
        <rFont val="Calibri"/>
        <family val="1"/>
      </rPr>
      <t>PINCELES</t>
    </r>
  </si>
  <si>
    <r>
      <rPr>
        <sz val="11"/>
        <rFont val="Calibri"/>
        <family val="1"/>
      </rPr>
      <t>PINCELES 12</t>
    </r>
  </si>
  <si>
    <r>
      <rPr>
        <sz val="11"/>
        <rFont val="Calibri"/>
        <family val="1"/>
      </rPr>
      <t>PIZARRA BLANCA</t>
    </r>
  </si>
  <si>
    <r>
      <rPr>
        <sz val="11"/>
        <rFont val="Calibri"/>
        <family val="1"/>
      </rPr>
      <t>PIZARRA MAGNETICA ESCOLAR</t>
    </r>
  </si>
  <si>
    <r>
      <rPr>
        <sz val="11"/>
        <rFont val="Calibri"/>
        <family val="1"/>
      </rPr>
      <t>PLASTICINA TRIANGULAR MURANO</t>
    </r>
  </si>
  <si>
    <r>
      <rPr>
        <sz val="11"/>
        <rFont val="Calibri"/>
        <family val="1"/>
      </rPr>
      <t>PLUMON ESCOLAR JUMBO MURANO</t>
    </r>
  </si>
  <si>
    <r>
      <rPr>
        <sz val="11"/>
        <rFont val="Calibri"/>
        <family val="1"/>
      </rPr>
      <t>PUNZON PLASTICO PUNTA METAL</t>
    </r>
  </si>
  <si>
    <r>
      <rPr>
        <sz val="11"/>
        <rFont val="Calibri"/>
        <family val="1"/>
      </rPr>
      <t>REGLA 20 CM MURANO</t>
    </r>
  </si>
  <si>
    <r>
      <rPr>
        <sz val="11"/>
        <rFont val="Calibri"/>
        <family val="1"/>
      </rPr>
      <t>REGLA 30 CM MURANO</t>
    </r>
  </si>
  <si>
    <r>
      <rPr>
        <sz val="11"/>
        <rFont val="Calibri"/>
        <family val="1"/>
      </rPr>
      <t>SACAPUNTA CPM DEPOSITO</t>
    </r>
  </si>
  <si>
    <r>
      <rPr>
        <sz val="11"/>
        <rFont val="Calibri"/>
        <family val="1"/>
      </rPr>
      <t>SET DESTACADOR 6 U</t>
    </r>
  </si>
  <si>
    <r>
      <rPr>
        <sz val="11"/>
        <rFont val="Calibri"/>
        <family val="1"/>
      </rPr>
      <t>SILICONA EN BARA 7 MM</t>
    </r>
  </si>
  <si>
    <r>
      <rPr>
        <sz val="11"/>
        <rFont val="Calibri"/>
        <family val="1"/>
      </rPr>
      <t>TEMPERA 250</t>
    </r>
  </si>
  <si>
    <r>
      <rPr>
        <sz val="11"/>
        <rFont val="Calibri"/>
        <family val="1"/>
      </rPr>
      <t>TEMPERA SOLIDA 12 COLORES</t>
    </r>
  </si>
  <si>
    <r>
      <rPr>
        <sz val="11"/>
        <rFont val="Calibri"/>
        <family val="1"/>
      </rPr>
      <t>TIJERA ESCOLAR NURANO</t>
    </r>
  </si>
  <si>
    <r>
      <rPr>
        <sz val="11"/>
        <rFont val="Calibri"/>
        <family val="1"/>
      </rPr>
      <t>GOMA DE BORRAR GRANDE 3 U</t>
    </r>
  </si>
  <si>
    <r>
      <rPr>
        <sz val="11"/>
        <rFont val="Calibri"/>
        <family val="1"/>
      </rPr>
      <t>GOMA DE BORRAR CHICA 6 U</t>
    </r>
  </si>
  <si>
    <r>
      <rPr>
        <sz val="11"/>
        <rFont val="Calibri"/>
        <family val="1"/>
      </rPr>
      <t>LAPICES PASTEL  12 U</t>
    </r>
  </si>
  <si>
    <r>
      <rPr>
        <sz val="11"/>
        <rFont val="Calibri"/>
        <family val="1"/>
      </rPr>
      <t>GLITTER 6 COLORES</t>
    </r>
  </si>
  <si>
    <r>
      <rPr>
        <sz val="11"/>
        <rFont val="Calibri"/>
        <family val="1"/>
      </rPr>
      <t>LAPICES DE COLORES JUNMBO 12 COLORES</t>
    </r>
  </si>
  <si>
    <r>
      <rPr>
        <sz val="11"/>
        <rFont val="Calibri"/>
        <family val="1"/>
      </rPr>
      <t>PLUMONES JUMBO 12 COLORES</t>
    </r>
  </si>
  <si>
    <r>
      <rPr>
        <sz val="11"/>
        <rFont val="Calibri"/>
        <family val="1"/>
      </rPr>
      <t>LAPICES DE CERA JUMBOO 24 U</t>
    </r>
  </si>
  <si>
    <r>
      <rPr>
        <sz val="11"/>
        <rFont val="Calibri"/>
        <family val="1"/>
      </rPr>
      <t>LAPICES BICOLOR 12U</t>
    </r>
  </si>
  <si>
    <r>
      <rPr>
        <sz val="11"/>
        <rFont val="Calibri"/>
        <family val="1"/>
      </rPr>
      <t>LAPICES SCRIPTO 12 U</t>
    </r>
  </si>
  <si>
    <r>
      <rPr>
        <sz val="11"/>
        <rFont val="Calibri"/>
        <family val="1"/>
      </rPr>
      <t>LAPICES DE COLORES</t>
    </r>
  </si>
  <si>
    <r>
      <rPr>
        <sz val="11"/>
        <rFont val="Calibri"/>
        <family val="1"/>
      </rPr>
      <t>LAPICES DE CERA JUMBO 12 U</t>
    </r>
  </si>
  <si>
    <r>
      <rPr>
        <sz val="11"/>
        <rFont val="Calibri"/>
        <family val="1"/>
      </rPr>
      <t>ACUARELA 15 COLORES</t>
    </r>
  </si>
  <si>
    <r>
      <rPr>
        <sz val="11"/>
        <rFont val="Calibri"/>
        <family val="1"/>
      </rPr>
      <t>SET DE GEOMETRIA</t>
    </r>
  </si>
  <si>
    <r>
      <rPr>
        <sz val="11"/>
        <rFont val="Calibri"/>
        <family val="1"/>
      </rPr>
      <t>LAPIZ GRAFITO</t>
    </r>
  </si>
  <si>
    <t>Código</t>
  </si>
  <si>
    <t>Producto</t>
  </si>
  <si>
    <t>Cantidad</t>
  </si>
  <si>
    <t>Precio Unitario</t>
  </si>
  <si>
    <t>Precio Total</t>
  </si>
  <si>
    <t>ADHESIVO INSTANTANEO EXTRA FUERTE PROARTE</t>
  </si>
  <si>
    <t>ADHESIVO MULTIUSO 100CC 12 UNIDADES FULTONS</t>
  </si>
  <si>
    <t>ALFILERES 50GRS METAL 25MM FULTONS</t>
  </si>
  <si>
    <t>AMARRAS METALICAS 8CMS COLORES 400 UNIDADES ART&amp;CRAFT</t>
  </si>
  <si>
    <t>ARPILLERA COLOR NATURAL 40X60CMS 1 UNIDAD ART&amp;CRAFT</t>
  </si>
  <si>
    <t>ARPILLERA ROJA 40X60CM ART&amp;CRAFT</t>
  </si>
  <si>
    <t>ARPILLERA VERDE 40X60CM ART&amp;CRAFT</t>
  </si>
  <si>
    <t>BLOCK PARA CROQUIS 16X21CM PROARTE</t>
  </si>
  <si>
    <t>BLOCK PARA CROQUIS 27X38CM PROARTE</t>
  </si>
  <si>
    <t>BOLIGRAFO NEGRO LUSSO</t>
  </si>
  <si>
    <t>BOLSA DE BASURA 80X110CM 10 UNIDADES BRESEE</t>
  </si>
  <si>
    <t>BOMBITAS DE AGUA CON ADAPTADOR 100 UNIDADES BALLOONS</t>
  </si>
  <si>
    <t>BROCHA 2 PULGADAS 1 UNIDAD ART&amp;CRAFT</t>
  </si>
  <si>
    <t>BROCHES METALICOS DORADOS 50 UNIDADES 1 CAJITA FULTONS</t>
  </si>
  <si>
    <t>CAJA GOMA DE BORRAR MIGA 20 UNIDADES FULTONS</t>
  </si>
  <si>
    <t>CARMÍN TEMPERA 120ML PROARTE</t>
  </si>
  <si>
    <t>CARPETA CARTULINA ESPAÑOLA 10 HJS FULTONS</t>
  </si>
  <si>
    <t>CARPETA CARTULINA METALICA 10 HJS FULTONS</t>
  </si>
  <si>
    <t>CARPETA CON FUNDAS OFICIO 10 FUNDAS NEGRO VINIL 1 UNIDAD FULTONS</t>
  </si>
  <si>
    <t>CARPETA DE CARTÓN 14 HJS FULTONS</t>
  </si>
  <si>
    <t>CARPETA OFICIO CON ACCO CLIP PLASTICO AMARILLO 1 UNIDAD JRF</t>
  </si>
  <si>
    <t>CARPETA OFICIO CON ACCO CLIP PLASTICO AZUL JRF</t>
  </si>
  <si>
    <t>CARPETA OFICIO CON ACCO CLIP PLASTICO BLANCO 1 UNIDAD JRF</t>
  </si>
  <si>
    <t>CARPETA OFICIO CON ACCO CLIP PLASTICO CAFE 1 UNIDAD JRF</t>
  </si>
  <si>
    <t>CARPETA OFICIO CON ACCO CLIP PLASTICO CELESTE 1 UNIDAD JRF</t>
  </si>
  <si>
    <t>CARPETA OFICIO CON ACCO CLIP PLASTICO GRIS 1 UNIDAD JRF</t>
  </si>
  <si>
    <t>CARPETA OFICIO CON ACCO CLIP PLASTICO NEGRO 1 UNIDAD JRF</t>
  </si>
  <si>
    <t>CARPETA OFICIO CON ACCO CLIP PLASTICO ROJO JRF</t>
  </si>
  <si>
    <t>CARPETA OFICIO CON ACCO CLIP PLASTICO VERDE CLARO 1 UNIDAD JRF</t>
  </si>
  <si>
    <t>CARPETA PAPEL ENTRETENIDO 9 HJS 18 DISEÑOS FULTONS</t>
  </si>
  <si>
    <t>CARPETA PAPEL LUSTRE 14 HJS FULTONS</t>
  </si>
  <si>
    <t>CINTA CORRECTORA 5MTSX5MM 1 UNIDAD COLOR SURTIDO TAMAÑO 8X3CM LAVORO</t>
  </si>
  <si>
    <t>CINTA CORRECTORA 5MTX5MM 1 UNIDAD COLOR SURTIDO TAMAÑO 8X3CM LAVORO</t>
  </si>
  <si>
    <t>CINTA DE EMBALAJE TRANSPARENTE 48MMX30MTS 6 UNIDADES FULTONS</t>
  </si>
  <si>
    <t>CINTA DE MONTAJE DOBLE CONTACTO 18MMX6MTS PALA</t>
  </si>
  <si>
    <t>CINTA DOBLE CONTACTO 24MMX13.7MTS 1 UNIDAD LAVORO</t>
  </si>
  <si>
    <t>COLA FRIA 125 GRS 12 UNIDADES PROARTE</t>
  </si>
  <si>
    <t>COLA FRIA 38 GRAMOS 12 UNIDADES PROARTE</t>
  </si>
  <si>
    <t>CORRECTOR PUNTA METALICA 7 ML 12 UNIDADES PROARTE</t>
  </si>
  <si>
    <t>CORRECTOR PUNTA METALICA 7ML 12 UNIDADES PROARTE</t>
  </si>
  <si>
    <t>CUADERNO UNIVERSITARIO 7MM 100 HOJAS 10 UNIDADES PROARTE</t>
  </si>
  <si>
    <t>CUADERNO UNIVERSITARIO CAPITAN TSUBASA 100 HOJAS 10 UNIDADES PROARTE</t>
  </si>
  <si>
    <t>38379-1</t>
  </si>
  <si>
    <t>19037-3</t>
  </si>
  <si>
    <t>CUADERNO UNIVERSITARIO CROQUIS LISO (HOJA BLANCA) 100 HOJAS 10 UNIDADES PROARTE</t>
  </si>
  <si>
    <t>CUADERNO UNIVERSITARIO CROQUIS LISO 100 HOJAS 10 UNIDADES PROARTE</t>
  </si>
  <si>
    <t>CUENTAS MADERAS COLORES SURTIDOS 30UN ART&amp;CRAFT</t>
  </si>
  <si>
    <t>CUENTAS PLASTICAS COLORES PASTELES 30GRS ART&amp;CRAFT</t>
  </si>
  <si>
    <t>DESTACADOR DE ESCRITORIO BISELADO VERDE 12 UNIDADES FULTON</t>
  </si>
  <si>
    <t>DESTACADOR DE ESCRITORIO BISELADO VERDE 12 UNIDADES FULTONS</t>
  </si>
  <si>
    <t>DESTACADOR LAPIZ CELESTE 12 UNIDADES ISOFIT</t>
  </si>
  <si>
    <t>DESTACADOR LAPIZ NARANJO 12 UNIDADES ISOFIT</t>
  </si>
  <si>
    <t>DOMINO CAJA PLASTICA 9MM</t>
  </si>
  <si>
    <t>DOMINO EN MALETIN 7MM</t>
  </si>
  <si>
    <t>DOMINO TORERO 9MM COLOR SURTIDO</t>
  </si>
  <si>
    <t>ESCARCHA GLITTER GLUE 40ML 12 UNIDADES COLORES SURTIDOS ART&amp;CRAFT</t>
  </si>
  <si>
    <t>ESPIRALES PLASTICOS NEGROS 58 PASOS 10MM 100 UNIDADES DIAZOL</t>
  </si>
  <si>
    <t>ESPIRALES PLASTICOS NEGROS 58 PASOS 14MM 100 UNIDADES DIAZOL</t>
  </si>
  <si>
    <t>EST CARTON MICROCORRUGADO 6 HJS PROARTE</t>
  </si>
  <si>
    <t>ESTUCHE CARTULINA PINTADA 18HJS PROARTE</t>
  </si>
  <si>
    <t>ETIQUETA ADHESIVA TABLA DE MULTIPLICAR ART&amp;CRAFT</t>
  </si>
  <si>
    <t>ETIQUETA ADHESIVA TABLA PERIODICA ART&amp;CRAFT</t>
  </si>
  <si>
    <t>ETIQUETAS ESCOLAR CON LINEAS AZUL 35X70MM 48UN LAVORO</t>
  </si>
  <si>
    <t>ETIQUETAS ESCOLAR CON LINEAS ROJA 35X70MM 48UN LAVORO</t>
  </si>
  <si>
    <t>FORRO COLLEGE PLASTICO AMARILLO 10 UNIDADES ESPINOZA</t>
  </si>
  <si>
    <t>FORRO COLLEGE PLASTICO AZUL 10 UNIDADES ESPINOZA</t>
  </si>
  <si>
    <t>FORRO COLLEGE PLASTICO CAFE 10 UNIDADES ESPINOZA</t>
  </si>
  <si>
    <t>FORRO COLLEGE PLASTICO NARANJA 10 UNIDADES ESPINOZA</t>
  </si>
  <si>
    <t>FORRO COLLEGE PLASTICO ROJO 10 UNIDADES ESPINOZA</t>
  </si>
  <si>
    <t>FORRO COLLEGE PVC TRANSPARENTE 1 UNIDAD LAVORO</t>
  </si>
  <si>
    <t>FORRO LIBRO PLASTICO TRANSPARENTE 10 UNIDADES ESPINOZA</t>
  </si>
  <si>
    <t>FORRO UNIVERSITARIO PLASTICO TRANSPARENTE 10 UNIDADES ESPINOZA</t>
  </si>
  <si>
    <t>FRASCO ESCARCHA GLITTER 6 COLORES 80 GRS ART&amp;CRAFT</t>
  </si>
  <si>
    <t>FRASCO ESCARCHA GRLITTER 6 COLORES 80 GRS ART%CRAFT</t>
  </si>
  <si>
    <t>FUNDAS TRANSPARENTE OFICIO 100UN FULTONS</t>
  </si>
  <si>
    <t>GATITOS PAÑOLENCI ARTE TOP</t>
  </si>
  <si>
    <t>GLOBO LISO N°9 AMARILLO 25 UNIDADES GLAM</t>
  </si>
  <si>
    <t>GLOBO LISO N°9 AZUL 25 UNIDADES GLAM</t>
  </si>
  <si>
    <t>GLOBO LISO N°9 BLANCO 25 UNIDADES GLAM</t>
  </si>
  <si>
    <t>GLOBO LISO N°9 CELESTE 25 UNIDADES GLAM</t>
  </si>
  <si>
    <t>GLOBO LISO N°9 CELESTE-BLANCO 25 UNIDADES GLAM</t>
  </si>
  <si>
    <t>GLOBO LISO N°9 LILA 25 UNIDADES GLAM</t>
  </si>
  <si>
    <t>GLOBO LISO N°9 ROJO 25 UNIDADES GLAM</t>
  </si>
  <si>
    <t>GLOBO LISO N°9 ROSADO-BLANCO 25 UNIDADES GLAM</t>
  </si>
  <si>
    <t>GLOBO LISO N°9 VERDE LIMA 25 UNIDADES GLAM</t>
  </si>
  <si>
    <t>GLOBO METALIZADO N°9 NEGRO 25 UNIDADES GLAM</t>
  </si>
  <si>
    <t>GLOBO METALIZADO N°9 PLATEADO 25 UNIDADES GLAM</t>
  </si>
  <si>
    <t>GLOBO N°9 METALIZADO DORADO 25 UNIDADES GLAM</t>
  </si>
  <si>
    <t>LAMINAS PARA TERMOLAMINAR JUMBO 80X115MM 175 MICRONES LAVORO</t>
  </si>
  <si>
    <t>LAPICES 12 COLORES METALICOS LAVORO</t>
  </si>
  <si>
    <t>LAPICES 12 COLORES PASTEL LAVORO</t>
  </si>
  <si>
    <t>LAPICES COLORES 12+2 GRAFITO PROARTE</t>
  </si>
  <si>
    <t>LAPICES DE 12 COLORES 3.0 GIOTTO</t>
  </si>
  <si>
    <t>LAPICES GRAFITO TRIANGULAR HB N°2 PROARTE</t>
  </si>
  <si>
    <t>LAPIZ GRAFITO HEXAGONAL HB N°2 - 12 UNIDADES PROARTE</t>
  </si>
  <si>
    <t>LAPIZ GRAFITO HEXAGONAL HB N°2 – 12 UNIDADES PROARTE</t>
  </si>
  <si>
    <t>LAPIZ GRAFITO TRIANGULAR JUMBO 6 UNIDADES LAVORO</t>
  </si>
  <si>
    <t>LAPIZ TINTA GEL 0.7MM AZUL 12 UNIDADES LAVORO</t>
  </si>
  <si>
    <t>LIBRO DE ACTAS 100 HOJAS LAVORO</t>
  </si>
  <si>
    <t>LIBRO DE ASISTENCIA 100 HOJAS LAVORO</t>
  </si>
  <si>
    <t>LIBRO DE COMPRA Y VENTAS 24 HOJAS LAVORO</t>
  </si>
  <si>
    <t>LIBRO DE CORRESPONDENCIA 100 HOJAS LAVORO</t>
  </si>
  <si>
    <t>LIBRO MANIFOLD TRIPLICADO 50 HJS LAVORO</t>
  </si>
  <si>
    <t>MALETIN CON FUELLE PLASTICO NEGRO LAVORO</t>
  </si>
  <si>
    <t>MARCADOR OLEO BLANCO 12 UNIDADES LAVORO</t>
  </si>
  <si>
    <t>MEZCLADOR 4 DIVISIONES 1 UNIDAD FULTON</t>
  </si>
  <si>
    <t>MEZCLADOR 6 DIVISIONES 1 UNIDAD FULTONS</t>
  </si>
  <si>
    <t>MI PRIMER KIT ESCOLAR DOMS</t>
  </si>
  <si>
    <t>PACKDIDACTICOS</t>
  </si>
  <si>
    <t>PACK DE VARIEDAD DE DIDACTICOS</t>
  </si>
  <si>
    <t>PAPEL ADHESIVO GLOSSY 180 GRAMOS OFICIO 100 HOJAS DIAZOL</t>
  </si>
  <si>
    <t>PAPEL FOTOGRAFICO 180 GRAMOS GLOSSY CARTA 20 HOJAS DIAZOL</t>
  </si>
  <si>
    <t>PEGAMENTO EN BARRA 21 GRAMOS 12 UNIDADES PROARTE</t>
  </si>
  <si>
    <t>PEGAMENTO EN BARRA 36 GRAMOS 12 UNIDADES PROARTE</t>
  </si>
  <si>
    <t>PEGAMENTO EN BARRA XL 115GRS 6 UNIDADES LAVORO</t>
  </si>
  <si>
    <t>PINCEL N°1 PELO CAMELLO 12 UNIDADES MANGO DE MADERA ART&amp;CRAFT</t>
  </si>
  <si>
    <t>PINCEL N°10 ESPATULADO 6 UNIDADES ART&amp;CRAFT</t>
  </si>
  <si>
    <t>PINCEL N°11 PELO CAMELLO 6 UNIDADES MANGO DE MADERA ART&amp;CRAFT</t>
  </si>
  <si>
    <t>PINCEL N°12 ESPATULADO 6 UNIDADES ART&amp;CRAFT</t>
  </si>
  <si>
    <t>PINCEL N°12 PELO CAMELLO 6 UNIDADES ART&amp;CRAFT</t>
  </si>
  <si>
    <t>PINCEL N°14 ESPATULADO 6 UNIDADES ART&amp;CRAFT</t>
  </si>
  <si>
    <t>PINCEL N°16 ESPATULADO 6 UNIDADES ART&amp;CRAFT</t>
  </si>
  <si>
    <t>PINCEL N°2 ESPATULADO 12 UNIDADES ART&amp;CRAFT</t>
  </si>
  <si>
    <t>PINCEL N°2 ESPATULADO 12 UNIDADES PROARTE</t>
  </si>
  <si>
    <t>PINCEL N°2 PELO CAMELLO 12 UNIDADES ART&amp;CRAFT</t>
  </si>
  <si>
    <t>PINCEL N°3 PELO CAMELLO 12 UNIDADES ART&amp;CRAFT</t>
  </si>
  <si>
    <t>PINCEL N°4 ESPATULADO 12 UNIDADES ART&amp;CRAFT</t>
  </si>
  <si>
    <t>PINCEL N°4 PELO CAMELLO 12 UNIDADES ART&amp;CRAFT</t>
  </si>
  <si>
    <t>PINCEL N°5 PELO CAMELLO 12 UNIDADES ART&amp;CRAFT</t>
  </si>
  <si>
    <t>PINCEL N°6 ESPATULADO 12 UNIDADES PROARTE</t>
  </si>
  <si>
    <t>PINCEL N°6 PELO CAMELLO 12 UNIDADES ART&amp;CRAFT</t>
  </si>
  <si>
    <t>PINCEL N°7 PELO CAMELLO 12 UNIDADES ART&amp;CRAFT</t>
  </si>
  <si>
    <t>PINCEL N°8 ESPATULADO 12 UNIDADES ART&amp;CRAFT</t>
  </si>
  <si>
    <t>PINCEL N°9 PELO CAMELLO 6 UNIDADES MANGO DE MADERA FULTON'S</t>
  </si>
  <si>
    <t>PLASTICINA REDONDA 12 COLORES ARTE TOP</t>
  </si>
  <si>
    <t>PLATO CARTON REDONDO 18CM BLANCO 20UND GLAM</t>
  </si>
  <si>
    <t>PLATO PLASTICO 18 CM BLANCO 10 UNIDADES GLAM</t>
  </si>
  <si>
    <t>RAFIA 10GRS ART&amp;CRAFT</t>
  </si>
  <si>
    <t>ELÁSTICO</t>
  </si>
  <si>
    <t>ROLLO ELASTICO NEGRO 2.5CM ANCHO-28 METROS LARGO</t>
  </si>
  <si>
    <t>SERVILLETA AZUL 20 UNIDADES GLAM</t>
  </si>
  <si>
    <t>SERVILLETA LAVANDA 20 UNIDADES GLAM</t>
  </si>
  <si>
    <t>SET 170 CARTULINA PINTADA COLORES SURTIDO 53X77 PAREDONES</t>
  </si>
  <si>
    <t>SET 3 AGUJAS PLASTICAS PARA LANA 7CM ART&amp;CRAFT</t>
  </si>
  <si>
    <t>SET BILLETES Y MONEDAS DE CHILE ARTE TOP</t>
  </si>
  <si>
    <t>SET DE ESPONJAS 20UND</t>
  </si>
  <si>
    <t>SET DE FLORES NATURALES 4 UNIDADES ARTE TOP</t>
  </si>
  <si>
    <t>SET DE MINI TOALLAS HUMEDA 4UND SURTIDOS</t>
  </si>
  <si>
    <t>SET DE PINCELES REDONDOS 5 UNIDADES DOMS</t>
  </si>
  <si>
    <t>SET ESPEJITOS SURTIDOS ART&amp;CRAFT</t>
  </si>
  <si>
    <t>SET ESPONJA VIRUTILLA</t>
  </si>
  <si>
    <t>SET GANCHO CABEZA PLASTICA ARTE TOP</t>
  </si>
  <si>
    <t>SET LANA 5 COLORES BASICOS 1 AGUJA PLAST ART &amp; CRAFT</t>
  </si>
  <si>
    <t>SET LANAS 5 COLORES 1 AGUJA PLAST ART &amp; CRAFT</t>
  </si>
  <si>
    <t>SET LANAS 5 COLORES 1 AGUJA PLAST ART &amp; CRAFT -</t>
  </si>
  <si>
    <t>SET LIJA ESCOLAR ARTE TOP</t>
  </si>
  <si>
    <t>SET MINAS REDONDOS 5 UNIDADES ART&amp;CRAFT</t>
  </si>
  <si>
    <t>SOBRES PARA TERMOLAMINAR OFICIO 23X34 CMS 125 MICRONES 100 UNIDADES DIAZOL</t>
  </si>
  <si>
    <t>TARJETA KARDEX 12.5X20.5CMS 25 UNIDADES FULTONS</t>
  </si>
  <si>
    <t>TARJETA KARDEX 12.5X20:5CMS 25 UNIDADES FULTONS</t>
  </si>
  <si>
    <t>TEMPERA 250ML BLANCO ART&amp;CRAFT</t>
  </si>
  <si>
    <t>TEMPERA AMARILLA 250ML GIOTTO</t>
  </si>
  <si>
    <t>TEMPERA AZUL 250ML GIOTTO</t>
  </si>
  <si>
    <t>TEMPERA CAFE PARDO 250ML PROARTE</t>
  </si>
  <si>
    <t>TEMPERA METALICA DORADA 250ML GIOTTO</t>
  </si>
  <si>
    <t>TEMPERA NARANJA 250ML PROARTE</t>
  </si>
  <si>
    <t>TEMPERA PIEL 120ML PROARTE</t>
  </si>
  <si>
    <t>TEMPERA VERDE 250ML GIOTTO</t>
  </si>
  <si>
    <t>TIJERA ESCOLAR 13CMS BLISTER FULTONS</t>
  </si>
  <si>
    <t>TIJERA ESCOLAR 13CMS NEGRO PUNTA ROMA FULTONS</t>
  </si>
  <si>
    <t>TIJERA ESCOLAR CON CLIP LAVORO</t>
  </si>
  <si>
    <t>O766637</t>
  </si>
  <si>
    <t>TIJERA ESCOLAR MANGO NARANJA PROARTE</t>
  </si>
  <si>
    <t>TINTA PARA TAMPON 24ML AZUL FULTONS</t>
  </si>
  <si>
    <t>TINTA PARA TAMPON 24ML NEGRA FULTONS</t>
  </si>
  <si>
    <t>TIZA JUMBO 6 COLORES FLUOR ART&amp;CRAFT</t>
  </si>
  <si>
    <t>TRAPERO MULTIUSO LIMON 10PCS VIVIDI</t>
  </si>
  <si>
    <t>ADHESIVO MULTIUSO 30CC 24 UNIDADES FULTONS</t>
  </si>
  <si>
    <t>CARTON PIEDRA 1.5MM 27.5X38.5CM 25 UNIDADES</t>
  </si>
  <si>
    <t>ARCILLA 1 KILO APROX USO ESCOLAR Y PROFESIONAL</t>
  </si>
  <si>
    <t>TIJERA ESCOLAR 13CMS NEGRO PUNTA ROMA</t>
  </si>
  <si>
    <t>TIJERA ESCOLAR PARA ZURDOS BLISTER FULTONS</t>
  </si>
  <si>
    <t>PIZARRA MAGNETICA ESCOLAR</t>
  </si>
  <si>
    <t>PLUMON ESCOLAR JUMBO MURANO</t>
  </si>
  <si>
    <t>TIJERA ESCOLAR NURANO</t>
  </si>
  <si>
    <t>CATEGORIA</t>
  </si>
  <si>
    <t>ESCOLAR</t>
  </si>
  <si>
    <t>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</si>
</sst>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\ #,##0"/>
    <numFmt numFmtId="165" formatCode="\$\ 0"/>
    <numFmt numFmtId="166" formatCode="\$#,##0"/>
    <numFmt numFmtId="167" formatCode="&quot;$&quot;#,##0"/>
    <numFmt numFmtId="168" formatCode="[$$-340A]#,##0;[Red][$$-340A]&quot; -&quot;#,##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Segoe UI"/>
    </font>
  </fonts>
  <fills count="2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</patternFill>
    </fill>
    <fill>
      <patternFill patternType="solid">
        <fgColor rgb="FFD0CECE"/>
      </patternFill>
    </fill>
    <fill>
      <patternFill patternType="solid">
        <fgColor rgb="FFF2F4F4"/>
        <bgColor rgb="FFF2F4F4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9F9F9"/>
        <bgColor rgb="FFF9F9F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2F4F4"/>
      </patternFill>
    </fill>
    <fill>
      <patternFill patternType="solid">
        <fgColor theme="9" tint="0.39997558519241921"/>
        <bgColor rgb="FFF2F2F2"/>
      </patternFill>
    </fill>
    <fill>
      <patternFill patternType="solid">
        <fgColor theme="9" tint="0.39997558519241921"/>
        <bgColor rgb="FFCCFFFF"/>
      </patternFill>
    </fill>
    <fill>
      <patternFill patternType="solid">
        <fgColor theme="9" tint="0.39997558519241921"/>
        <bgColor rgb="FFFFFFCC"/>
      </patternFill>
    </fill>
    <fill>
      <patternFill patternType="solid">
        <fgColor theme="9" tint="0.39997558519241921"/>
        <bgColor rgb="FFF9F9F9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2F4F4"/>
      </patternFill>
    </fill>
    <fill>
      <patternFill patternType="solid">
        <fgColor rgb="FFFFC000"/>
        <bgColor rgb="FFF2F2F2"/>
      </patternFill>
    </fill>
    <fill>
      <patternFill patternType="solid">
        <fgColor rgb="FFFFC000"/>
        <bgColor rgb="FFCCFFFF"/>
      </patternFill>
    </fill>
    <fill>
      <patternFill patternType="solid">
        <fgColor rgb="FFFFC000"/>
        <bgColor rgb="FFFFFFCC"/>
      </patternFill>
    </fill>
    <fill>
      <patternFill patternType="solid">
        <fgColor rgb="FFFFC000"/>
        <bgColor rgb="FFF9F9F9"/>
      </patternFill>
    </fill>
    <fill>
      <patternFill patternType="solid">
        <fgColor rgb="FFF2F5F8"/>
        <bgColor rgb="FFF2F5F8"/>
      </patternFill>
    </fill>
    <fill>
      <patternFill patternType="solid">
        <fgColor rgb="FFDCE6F1"/>
        <bgColor rgb="FFDCE6F1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uble">
        <color rgb="FF365F91"/>
      </bottom>
      <diagonal/>
    </border>
  </borders>
  <cellStyleXfs count="2">
    <xf numFmtId="0" fontId="0" fillId="0" borderId="0"/>
    <xf numFmtId="0" fontId="6" fillId="0" borderId="0"/>
  </cellStyleXfs>
  <cellXfs count="1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164" fontId="4" fillId="0" borderId="0" xfId="0" applyNumberFormat="1" applyFont="1" applyAlignment="1">
      <alignment horizontal="center" vertical="center" shrinkToFit="1"/>
    </xf>
    <xf numFmtId="165" fontId="4" fillId="0" borderId="0" xfId="0" applyNumberFormat="1" applyFont="1" applyAlignment="1">
      <alignment horizontal="center" vertical="center" shrinkToFit="1"/>
    </xf>
    <xf numFmtId="164" fontId="4" fillId="4" borderId="0" xfId="0" applyNumberFormat="1" applyFont="1" applyFill="1" applyAlignment="1">
      <alignment horizontal="center" vertical="center" shrinkToFit="1"/>
    </xf>
    <xf numFmtId="165" fontId="4" fillId="4" borderId="0" xfId="0" applyNumberFormat="1" applyFont="1" applyFill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0" xfId="0" applyFont="1" applyFill="1"/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49" fontId="0" fillId="0" borderId="9" xfId="0" applyNumberFormat="1" applyBorder="1" applyAlignment="1">
      <alignment horizontal="center" vertical="center"/>
    </xf>
    <xf numFmtId="0" fontId="7" fillId="7" borderId="9" xfId="1" applyFont="1" applyFill="1" applyBorder="1" applyAlignment="1">
      <alignment horizontal="center"/>
    </xf>
    <xf numFmtId="0" fontId="7" fillId="7" borderId="4" xfId="1" applyFont="1" applyFill="1" applyBorder="1" applyAlignment="1">
      <alignment horizontal="left" wrapText="1"/>
    </xf>
    <xf numFmtId="0" fontId="7" fillId="8" borderId="9" xfId="1" applyFont="1" applyFill="1" applyBorder="1" applyAlignment="1">
      <alignment horizontal="center"/>
    </xf>
    <xf numFmtId="0" fontId="7" fillId="8" borderId="4" xfId="1" applyFont="1" applyFill="1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9" xfId="0" applyBorder="1" applyAlignment="1">
      <alignment horizontal="center" vertical="center"/>
    </xf>
    <xf numFmtId="0" fontId="0" fillId="9" borderId="9" xfId="0" applyFill="1" applyBorder="1" applyAlignment="1">
      <alignment horizontal="center"/>
    </xf>
    <xf numFmtId="0" fontId="0" fillId="9" borderId="4" xfId="0" applyFill="1" applyBorder="1" applyAlignment="1">
      <alignment horizontal="left" vertical="center"/>
    </xf>
    <xf numFmtId="1" fontId="0" fillId="0" borderId="9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1" fillId="11" borderId="7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7" fillId="14" borderId="4" xfId="1" applyFont="1" applyFill="1" applyBorder="1" applyAlignment="1">
      <alignment horizontal="center"/>
    </xf>
    <xf numFmtId="0" fontId="7" fillId="15" borderId="4" xfId="1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4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" fillId="17" borderId="8" xfId="0" applyFont="1" applyFill="1" applyBorder="1" applyAlignment="1">
      <alignment horizontal="center" vertical="center"/>
    </xf>
    <xf numFmtId="1" fontId="0" fillId="17" borderId="5" xfId="0" applyNumberFormat="1" applyFill="1" applyBorder="1" applyAlignment="1">
      <alignment horizontal="center" vertical="center"/>
    </xf>
    <xf numFmtId="166" fontId="0" fillId="18" borderId="5" xfId="0" applyNumberFormat="1" applyFill="1" applyBorder="1" applyAlignment="1">
      <alignment horizontal="center" vertical="center"/>
    </xf>
    <xf numFmtId="167" fontId="0" fillId="19" borderId="5" xfId="0" applyNumberFormat="1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167" fontId="0" fillId="17" borderId="5" xfId="0" applyNumberFormat="1" applyFill="1" applyBorder="1" applyAlignment="1">
      <alignment horizontal="center" vertical="center"/>
    </xf>
    <xf numFmtId="166" fontId="7" fillId="20" borderId="5" xfId="1" applyNumberFormat="1" applyFont="1" applyFill="1" applyBorder="1" applyAlignment="1">
      <alignment horizontal="center"/>
    </xf>
    <xf numFmtId="166" fontId="0" fillId="17" borderId="5" xfId="0" applyNumberFormat="1" applyFill="1" applyBorder="1" applyAlignment="1">
      <alignment horizontal="center" vertical="center"/>
    </xf>
    <xf numFmtId="166" fontId="7" fillId="21" borderId="5" xfId="1" applyNumberFormat="1" applyFont="1" applyFill="1" applyBorder="1" applyAlignment="1">
      <alignment horizontal="center"/>
    </xf>
    <xf numFmtId="167" fontId="0" fillId="17" borderId="5" xfId="0" applyNumberFormat="1" applyFill="1" applyBorder="1" applyAlignment="1">
      <alignment horizontal="center"/>
    </xf>
    <xf numFmtId="168" fontId="0" fillId="17" borderId="5" xfId="0" applyNumberFormat="1" applyFill="1" applyBorder="1" applyAlignment="1">
      <alignment horizontal="center"/>
    </xf>
    <xf numFmtId="167" fontId="0" fillId="22" borderId="5" xfId="0" applyNumberFormat="1" applyFill="1" applyBorder="1" applyAlignment="1">
      <alignment horizontal="center"/>
    </xf>
    <xf numFmtId="166" fontId="2" fillId="17" borderId="5" xfId="0" applyNumberFormat="1" applyFont="1" applyFill="1" applyBorder="1" applyAlignment="1">
      <alignment horizontal="center" vertical="center"/>
    </xf>
    <xf numFmtId="166" fontId="0" fillId="22" borderId="5" xfId="0" applyNumberFormat="1" applyFill="1" applyBorder="1" applyAlignment="1">
      <alignment horizontal="center" vertical="center"/>
    </xf>
    <xf numFmtId="167" fontId="0" fillId="17" borderId="8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8" fillId="11" borderId="1" xfId="0" applyNumberFormat="1" applyFont="1" applyFill="1" applyBorder="1" applyAlignment="1">
      <alignment horizontal="center" vertical="center" shrinkToFit="1"/>
    </xf>
    <xf numFmtId="164" fontId="8" fillId="0" borderId="1" xfId="0" applyNumberFormat="1" applyFont="1" applyBorder="1" applyAlignment="1">
      <alignment horizontal="center" vertical="center" shrinkToFit="1"/>
    </xf>
    <xf numFmtId="164" fontId="8" fillId="3" borderId="1" xfId="0" applyNumberFormat="1" applyFont="1" applyFill="1" applyBorder="1" applyAlignment="1">
      <alignment horizontal="center" vertical="center" shrinkToFit="1"/>
    </xf>
    <xf numFmtId="165" fontId="8" fillId="3" borderId="1" xfId="0" applyNumberFormat="1" applyFont="1" applyFill="1" applyBorder="1" applyAlignment="1">
      <alignment horizontal="center" vertical="center" shrinkToFit="1"/>
    </xf>
    <xf numFmtId="165" fontId="8" fillId="0" borderId="1" xfId="0" applyNumberFormat="1" applyFont="1" applyBorder="1" applyAlignment="1">
      <alignment horizontal="center" vertical="center" shrinkToFit="1"/>
    </xf>
    <xf numFmtId="164" fontId="8" fillId="4" borderId="1" xfId="0" applyNumberFormat="1" applyFont="1" applyFill="1" applyBorder="1" applyAlignment="1">
      <alignment horizontal="center" vertical="center" shrinkToFit="1"/>
    </xf>
    <xf numFmtId="1" fontId="8" fillId="0" borderId="1" xfId="0" applyNumberFormat="1" applyFont="1" applyBorder="1" applyAlignment="1">
      <alignment horizontal="center" vertical="center" shrinkToFit="1"/>
    </xf>
    <xf numFmtId="1" fontId="8" fillId="11" borderId="2" xfId="0" applyNumberFormat="1" applyFont="1" applyFill="1" applyBorder="1" applyAlignment="1">
      <alignment horizontal="center" vertical="center" shrinkToFit="1"/>
    </xf>
    <xf numFmtId="1" fontId="8" fillId="0" borderId="2" xfId="0" applyNumberFormat="1" applyFont="1" applyBorder="1" applyAlignment="1">
      <alignment horizontal="center" vertical="center" shrinkToFit="1"/>
    </xf>
    <xf numFmtId="1" fontId="8" fillId="4" borderId="1" xfId="0" applyNumberFormat="1" applyFont="1" applyFill="1" applyBorder="1" applyAlignment="1">
      <alignment horizontal="center" vertical="center" shrinkToFit="1"/>
    </xf>
    <xf numFmtId="3" fontId="8" fillId="0" borderId="1" xfId="0" applyNumberFormat="1" applyFont="1" applyBorder="1" applyAlignment="1">
      <alignment horizontal="center" vertical="center" shrinkToFit="1"/>
    </xf>
    <xf numFmtId="164" fontId="8" fillId="17" borderId="1" xfId="0" applyNumberFormat="1" applyFont="1" applyFill="1" applyBorder="1" applyAlignment="1">
      <alignment horizontal="center" vertical="center" shrinkToFit="1"/>
    </xf>
    <xf numFmtId="165" fontId="8" fillId="17" borderId="1" xfId="0" applyNumberFormat="1" applyFont="1" applyFill="1" applyBorder="1" applyAlignment="1">
      <alignment horizontal="center" vertical="center" shrinkToFit="1"/>
    </xf>
    <xf numFmtId="165" fontId="8" fillId="17" borderId="2" xfId="0" applyNumberFormat="1" applyFont="1" applyFill="1" applyBorder="1" applyAlignment="1">
      <alignment horizontal="center" vertical="center" shrinkToFit="1"/>
    </xf>
    <xf numFmtId="0" fontId="0" fillId="17" borderId="1" xfId="0" applyFill="1" applyBorder="1" applyAlignment="1">
      <alignment horizontal="center" vertical="center" wrapText="1"/>
    </xf>
    <xf numFmtId="164" fontId="8" fillId="17" borderId="2" xfId="0" applyNumberFormat="1" applyFont="1" applyFill="1" applyBorder="1" applyAlignment="1">
      <alignment horizontal="center" vertical="center" shrinkToFit="1"/>
    </xf>
    <xf numFmtId="164" fontId="8" fillId="17" borderId="4" xfId="0" applyNumberFormat="1" applyFont="1" applyFill="1" applyBorder="1" applyAlignment="1">
      <alignment horizontal="center" vertical="center" shrinkToFit="1"/>
    </xf>
    <xf numFmtId="165" fontId="8" fillId="17" borderId="4" xfId="0" applyNumberFormat="1" applyFont="1" applyFill="1" applyBorder="1" applyAlignment="1">
      <alignment horizontal="center" vertical="center" shrinkToFit="1"/>
    </xf>
    <xf numFmtId="0" fontId="1" fillId="11" borderId="1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/>
    </xf>
    <xf numFmtId="0" fontId="0" fillId="10" borderId="4" xfId="0" applyFill="1" applyBorder="1" applyAlignment="1">
      <alignment horizontal="left" wrapText="1"/>
    </xf>
    <xf numFmtId="0" fontId="1" fillId="2" borderId="10" xfId="0" applyFont="1" applyFill="1" applyBorder="1" applyAlignment="1">
      <alignment horizontal="center" vertical="center" wrapText="1"/>
    </xf>
    <xf numFmtId="0" fontId="1" fillId="11" borderId="1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64" fontId="8" fillId="3" borderId="11" xfId="0" applyNumberFormat="1" applyFont="1" applyFill="1" applyBorder="1" applyAlignment="1">
      <alignment horizontal="center" vertical="center" shrinkToFit="1"/>
    </xf>
    <xf numFmtId="165" fontId="8" fillId="3" borderId="11" xfId="0" applyNumberFormat="1" applyFont="1" applyFill="1" applyBorder="1" applyAlignment="1">
      <alignment horizontal="center" vertical="center" shrinkToFit="1"/>
    </xf>
    <xf numFmtId="164" fontId="8" fillId="17" borderId="11" xfId="0" applyNumberFormat="1" applyFont="1" applyFill="1" applyBorder="1" applyAlignment="1">
      <alignment horizontal="center" vertical="center" shrinkToFit="1"/>
    </xf>
    <xf numFmtId="165" fontId="8" fillId="17" borderId="11" xfId="0" applyNumberFormat="1" applyFont="1" applyFill="1" applyBorder="1" applyAlignment="1">
      <alignment horizontal="center" vertical="center" shrinkToFit="1"/>
    </xf>
    <xf numFmtId="165" fontId="8" fillId="17" borderId="12" xfId="0" applyNumberFormat="1" applyFont="1" applyFill="1" applyBorder="1" applyAlignment="1">
      <alignment horizontal="center" vertical="center" shrinkToFit="1"/>
    </xf>
    <xf numFmtId="0" fontId="0" fillId="17" borderId="11" xfId="0" applyFill="1" applyBorder="1" applyAlignment="1">
      <alignment horizontal="center" vertical="center" wrapText="1"/>
    </xf>
    <xf numFmtId="164" fontId="8" fillId="17" borderId="12" xfId="0" applyNumberFormat="1" applyFont="1" applyFill="1" applyBorder="1" applyAlignment="1">
      <alignment horizontal="center" vertical="center" shrinkToFit="1"/>
    </xf>
    <xf numFmtId="164" fontId="8" fillId="17" borderId="5" xfId="0" applyNumberFormat="1" applyFont="1" applyFill="1" applyBorder="1" applyAlignment="1">
      <alignment horizontal="center" vertical="center" shrinkToFit="1"/>
    </xf>
    <xf numFmtId="165" fontId="8" fillId="17" borderId="5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wrapText="1"/>
    </xf>
    <xf numFmtId="0" fontId="9" fillId="23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14" borderId="4" xfId="1" applyFont="1" applyFill="1" applyBorder="1" applyAlignment="1">
      <alignment horizontal="center" vertical="center"/>
    </xf>
    <xf numFmtId="166" fontId="7" fillId="20" borderId="5" xfId="1" applyNumberFormat="1" applyFont="1" applyFill="1" applyBorder="1" applyAlignment="1">
      <alignment horizontal="center" vertical="center"/>
    </xf>
    <xf numFmtId="0" fontId="7" fillId="15" borderId="4" xfId="1" applyFont="1" applyFill="1" applyBorder="1" applyAlignment="1">
      <alignment horizontal="center" vertical="center"/>
    </xf>
    <xf numFmtId="166" fontId="7" fillId="21" borderId="5" xfId="1" applyNumberFormat="1" applyFont="1" applyFill="1" applyBorder="1" applyAlignment="1">
      <alignment horizontal="center" vertical="center"/>
    </xf>
    <xf numFmtId="168" fontId="0" fillId="17" borderId="5" xfId="0" applyNumberFormat="1" applyFill="1" applyBorder="1" applyAlignment="1">
      <alignment horizontal="center" vertical="center"/>
    </xf>
    <xf numFmtId="167" fontId="0" fillId="22" borderId="5" xfId="0" applyNumberFormat="1" applyFill="1" applyBorder="1" applyAlignment="1">
      <alignment horizontal="center" vertical="center"/>
    </xf>
    <xf numFmtId="0" fontId="0" fillId="24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122D6B24-A7ED-49CA-A9E6-886CA028C706}"/>
  </cellStyles>
  <dxfs count="13">
    <dxf>
      <fill>
        <patternFill>
          <bgColor rgb="FFFFC000"/>
        </patternFill>
      </fill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readingOrder="0"/>
      <border outline="0">
        <right style="thin">
          <color indexed="64"/>
        </right>
      </border>
    </dxf>
    <dxf>
      <numFmt numFmtId="164" formatCode="\$\ #,##0"/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readingOrder="0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666750</xdr:colOff>
      <xdr:row>364</xdr:row>
      <xdr:rowOff>161925</xdr:rowOff>
    </xdr:from>
    <xdr:to>
      <xdr:col>8</xdr:col>
      <xdr:colOff>600075</xdr:colOff>
      <xdr:row>372</xdr:row>
      <xdr:rowOff>76200</xdr:rowOff>
    </xdr:to>
    <xdr:sp macro="" textlink="">
      <xdr:nvSpPr>
        <xdr:cNvPr id="2" name="Pergamino: horizontal 1">
          <a:extLst>
            <a:ext uri="{FF2B5EF4-FFF2-40B4-BE49-F238E27FC236}">
              <a16:creationId xmlns:a16="http://schemas.microsoft.com/office/drawing/2014/main" id="{2EEA2E2C-58A5-4725-B2E6-E1E293236B8F}"/>
            </a:ext>
          </a:extLst>
        </xdr:cNvPr>
        <xdr:cNvSpPr/>
      </xdr:nvSpPr>
      <xdr:spPr>
        <a:xfrm>
          <a:off x="7086600" y="92563950"/>
          <a:ext cx="2876550" cy="1438275"/>
        </a:xfrm>
        <a:prstGeom prst="horizontalScrol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Estos son los productos y valores que estaban en el pdf de 8 páginas</a:t>
          </a:r>
          <a:endParaRPr lang="es-CL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1</xdr:row>
      <xdr:rowOff>123825</xdr:rowOff>
    </xdr:from>
    <xdr:to>
      <xdr:col>8</xdr:col>
      <xdr:colOff>695325</xdr:colOff>
      <xdr:row>9</xdr:row>
      <xdr:rowOff>38100</xdr:rowOff>
    </xdr:to>
    <xdr:sp macro="" textlink="">
      <xdr:nvSpPr>
        <xdr:cNvPr id="3" name="Pergamino: horizontal 2">
          <a:extLst>
            <a:ext uri="{FF2B5EF4-FFF2-40B4-BE49-F238E27FC236}">
              <a16:creationId xmlns:a16="http://schemas.microsoft.com/office/drawing/2014/main" id="{6C1072E4-8626-1F54-8958-496C0BFE1797}"/>
            </a:ext>
          </a:extLst>
        </xdr:cNvPr>
        <xdr:cNvSpPr/>
      </xdr:nvSpPr>
      <xdr:spPr>
        <a:xfrm>
          <a:off x="9572625" y="314325"/>
          <a:ext cx="2876550" cy="1438275"/>
        </a:xfrm>
        <a:prstGeom prst="horizontalScroll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Estos son los productos y valores de las imágenes de Whatsapp</a:t>
          </a:r>
          <a:endParaRPr lang="es-CL" sz="1800">
            <a:solidFill>
              <a:sysClr val="windowText" lastClr="000000"/>
            </a:solidFill>
            <a:effectLst/>
          </a:endParaRPr>
        </a:p>
        <a:p>
          <a:pPr algn="l"/>
          <a:endParaRPr lang="es-CL" sz="1800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8956E9-E668-49C2-AF4D-5ADB45684FAD}" name="Tabla4" displayName="Tabla4" ref="A1:E604" totalsRowShown="0" headerRowDxfId="12" headerRowBorderDxfId="11" tableBorderDxfId="10">
  <autoFilter ref="A1:E604" xr:uid="{798956E9-E668-49C2-AF4D-5ADB45684FAD}"/>
  <tableColumns count="5">
    <tableColumn id="1" xr3:uid="{0BE28364-A577-4E9E-B6BC-99DD0C310438}" name="PRODUCTO"/>
    <tableColumn id="2" xr3:uid="{AE5BA1E0-66FC-48D8-9459-B939FBD9F7BB}" name="CANTIDAD" dataDxfId="9"/>
    <tableColumn id="3" xr3:uid="{AD921975-2956-4F70-98F8-FFD4FA3BD50D}" name="COSTO" dataDxfId="8"/>
    <tableColumn id="4" xr3:uid="{D46F3205-8F5D-4219-8634-56AC91255DBD}" name="COSTO TOTAL" dataDxfId="7">
      <calculatedColumnFormula>Tabla4[[#This Row],[CANTIDAD]]*Tabla4[[#This Row],[COSTO]]</calculatedColumnFormula>
    </tableColumn>
    <tableColumn id="5" xr3:uid="{A4651438-3CC9-4FE4-A9DF-CFDBB0E7A241}" name="P.VENTA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E6C29C-19F5-4E6F-9FD2-F082E539CBCC}" name="Tabla1" displayName="Tabla1" ref="A1:E222" totalsRowShown="0" headerRowDxfId="5" tableBorderDxfId="4">
  <autoFilter ref="A1:E222" xr:uid="{FFE6C29C-19F5-4E6F-9FD2-F082E539CBCC}"/>
  <sortState xmlns:xlrd2="http://schemas.microsoft.com/office/spreadsheetml/2017/richdata2" ref="A2:E222">
    <sortCondition ref="B1:B222"/>
  </sortState>
  <tableColumns count="5">
    <tableColumn id="1" xr3:uid="{9E9AF278-7242-4C43-B19D-5626AB3E7448}" name="Código"/>
    <tableColumn id="2" xr3:uid="{2CF3BA67-51DF-4F76-971A-AB56CB7A8846}" name="Producto" dataDxfId="3"/>
    <tableColumn id="3" xr3:uid="{8FF6691C-DA54-4A87-95D8-408A286B3455}" name="Cantidad" dataDxfId="2"/>
    <tableColumn id="4" xr3:uid="{A4CA90C9-2854-4AE5-9D91-A78A42901785}" name="Precio Unitario" dataDxfId="1"/>
    <tableColumn id="5" xr3:uid="{762C3A23-E954-450E-98E9-AB0055F64C17}" name="Precio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EC33-1702-4843-AFFD-90F6BFF60306}">
  <sheetPr>
    <tabColor rgb="FF00B050"/>
  </sheetPr>
  <dimension ref="A1:F605"/>
  <sheetViews>
    <sheetView tabSelected="1" workbookViewId="0">
      <pane ySplit="1" topLeftCell="A122" activePane="bottomLeft" state="frozen"/>
      <selection pane="bottomLeft" activeCell="B316" sqref="B316"/>
    </sheetView>
  </sheetViews>
  <sheetFormatPr baseColWidth="10" defaultRowHeight="15" x14ac:dyDescent="0.25"/>
  <cols>
    <col min="1" max="1" width="46.5703125" customWidth="1"/>
    <col min="2" max="2" width="15.140625" style="109" customWidth="1"/>
    <col min="3" max="3" width="12.7109375" style="109"/>
    <col min="4" max="4" width="17.140625" style="109" customWidth="1"/>
    <col min="5" max="5" width="16.7109375" style="109" customWidth="1"/>
    <col min="6" max="6" width="15.85546875" style="109" bestFit="1" customWidth="1"/>
  </cols>
  <sheetData>
    <row r="1" spans="1:6" x14ac:dyDescent="0.25">
      <c r="A1" s="84" t="s">
        <v>0</v>
      </c>
      <c r="B1" s="85" t="s">
        <v>1</v>
      </c>
      <c r="C1" s="84" t="s">
        <v>2</v>
      </c>
      <c r="D1" s="84" t="s">
        <v>3</v>
      </c>
      <c r="E1" s="84" t="s">
        <v>4</v>
      </c>
      <c r="F1" s="96" t="s">
        <v>567</v>
      </c>
    </row>
    <row r="2" spans="1:6" ht="16.5" x14ac:dyDescent="0.25">
      <c r="A2" s="2" t="s">
        <v>5</v>
      </c>
      <c r="B2" s="62">
        <v>5</v>
      </c>
      <c r="C2" s="63">
        <v>1860</v>
      </c>
      <c r="D2" s="63">
        <f>Tabla4[[#This Row],[CANTIDAD]]*Tabla4[[#This Row],[COSTO]]</f>
        <v>9300</v>
      </c>
      <c r="E2" s="87">
        <v>2600</v>
      </c>
      <c r="F2" s="97" t="s">
        <v>568</v>
      </c>
    </row>
    <row r="3" spans="1:6" ht="18" customHeight="1" x14ac:dyDescent="0.25">
      <c r="A3" s="2" t="s">
        <v>6</v>
      </c>
      <c r="B3" s="62">
        <v>12</v>
      </c>
      <c r="C3" s="63">
        <v>11670</v>
      </c>
      <c r="D3" s="63">
        <f>Tabla4[[#This Row],[CANTIDAD]]*Tabla4[[#This Row],[COSTO]]</f>
        <v>140040</v>
      </c>
      <c r="E3" s="87">
        <v>1400</v>
      </c>
      <c r="F3" s="98" t="s">
        <v>568</v>
      </c>
    </row>
    <row r="4" spans="1:6" ht="16.5" x14ac:dyDescent="0.25">
      <c r="A4" s="86" t="s">
        <v>559</v>
      </c>
      <c r="B4" s="62">
        <v>24</v>
      </c>
      <c r="C4" s="63">
        <v>9010</v>
      </c>
      <c r="D4" s="63">
        <f>Tabla4[[#This Row],[CANTIDAD]]*Tabla4[[#This Row],[COSTO]]</f>
        <v>216240</v>
      </c>
      <c r="E4" s="88">
        <v>600</v>
      </c>
      <c r="F4" s="97" t="s">
        <v>568</v>
      </c>
    </row>
    <row r="5" spans="1:6" ht="16.5" x14ac:dyDescent="0.25">
      <c r="A5" s="2" t="s">
        <v>8</v>
      </c>
      <c r="B5" s="62">
        <v>12</v>
      </c>
      <c r="C5" s="66">
        <v>580</v>
      </c>
      <c r="D5" s="63">
        <f>Tabla4[[#This Row],[CANTIDAD]]*Tabla4[[#This Row],[COSTO]]</f>
        <v>6960</v>
      </c>
      <c r="E5" s="88">
        <v>300</v>
      </c>
      <c r="F5" s="98" t="s">
        <v>569</v>
      </c>
    </row>
    <row r="6" spans="1:6" ht="16.5" x14ac:dyDescent="0.25">
      <c r="A6" s="2" t="s">
        <v>9</v>
      </c>
      <c r="B6" s="62">
        <v>12</v>
      </c>
      <c r="C6" s="66">
        <v>580</v>
      </c>
      <c r="D6" s="63">
        <f>Tabla4[[#This Row],[CANTIDAD]]*Tabla4[[#This Row],[COSTO]]</f>
        <v>6960</v>
      </c>
      <c r="E6" s="88">
        <v>300</v>
      </c>
      <c r="F6" s="97" t="s">
        <v>569</v>
      </c>
    </row>
    <row r="7" spans="1:6" ht="16.5" x14ac:dyDescent="0.25">
      <c r="A7" s="2" t="s">
        <v>10</v>
      </c>
      <c r="B7" s="62">
        <v>36</v>
      </c>
      <c r="C7" s="66">
        <v>610</v>
      </c>
      <c r="D7" s="63">
        <f>Tabla4[[#This Row],[CANTIDAD]]*Tabla4[[#This Row],[COSTO]]</f>
        <v>21960</v>
      </c>
      <c r="E7" s="88">
        <v>100</v>
      </c>
      <c r="F7" s="98" t="s">
        <v>568</v>
      </c>
    </row>
    <row r="8" spans="1:6" ht="16.5" x14ac:dyDescent="0.25">
      <c r="A8" s="2" t="s">
        <v>11</v>
      </c>
      <c r="B8" s="62">
        <v>36</v>
      </c>
      <c r="C8" s="63">
        <v>1240</v>
      </c>
      <c r="D8" s="63">
        <f>Tabla4[[#This Row],[CANTIDAD]]*Tabla4[[#This Row],[COSTO]]</f>
        <v>44640</v>
      </c>
      <c r="E8" s="88">
        <v>150</v>
      </c>
      <c r="F8" s="97" t="s">
        <v>568</v>
      </c>
    </row>
    <row r="9" spans="1:6" ht="16.5" x14ac:dyDescent="0.25">
      <c r="A9" s="2" t="s">
        <v>12</v>
      </c>
      <c r="B9" s="62">
        <v>3</v>
      </c>
      <c r="C9" s="63">
        <v>1470</v>
      </c>
      <c r="D9" s="63">
        <f>Tabla4[[#This Row],[CANTIDAD]]*Tabla4[[#This Row],[COSTO]]</f>
        <v>4410</v>
      </c>
      <c r="E9" s="87">
        <v>2500</v>
      </c>
      <c r="F9" s="98" t="s">
        <v>568</v>
      </c>
    </row>
    <row r="10" spans="1:6" ht="30" x14ac:dyDescent="0.25">
      <c r="A10" s="2" t="s">
        <v>561</v>
      </c>
      <c r="B10" s="62">
        <v>10</v>
      </c>
      <c r="C10" s="66">
        <v>850</v>
      </c>
      <c r="D10" s="63">
        <f>Tabla4[[#This Row],[CANTIDAD]]*Tabla4[[#This Row],[COSTO]]</f>
        <v>8500</v>
      </c>
      <c r="E10" s="87">
        <v>1500</v>
      </c>
      <c r="F10" s="97" t="s">
        <v>568</v>
      </c>
    </row>
    <row r="11" spans="1:6" ht="16.5" x14ac:dyDescent="0.25">
      <c r="A11" s="2" t="s">
        <v>14</v>
      </c>
      <c r="B11" s="62">
        <v>5</v>
      </c>
      <c r="C11" s="66">
        <v>690</v>
      </c>
      <c r="D11" s="63">
        <f>Tabla4[[#This Row],[CANTIDAD]]*Tabla4[[#This Row],[COSTO]]</f>
        <v>3450</v>
      </c>
      <c r="E11" s="87">
        <v>1000</v>
      </c>
      <c r="F11" s="98" t="s">
        <v>568</v>
      </c>
    </row>
    <row r="12" spans="1:6" ht="16.5" x14ac:dyDescent="0.25">
      <c r="A12" s="2" t="s">
        <v>15</v>
      </c>
      <c r="B12" s="62">
        <v>10</v>
      </c>
      <c r="C12" s="66">
        <v>400</v>
      </c>
      <c r="D12" s="63">
        <f>Tabla4[[#This Row],[CANTIDAD]]*Tabla4[[#This Row],[COSTO]]</f>
        <v>4000</v>
      </c>
      <c r="E12" s="87">
        <v>1000</v>
      </c>
      <c r="F12" s="97" t="s">
        <v>568</v>
      </c>
    </row>
    <row r="13" spans="1:6" ht="16.5" x14ac:dyDescent="0.25">
      <c r="A13" s="2"/>
      <c r="B13" s="62">
        <v>5</v>
      </c>
      <c r="C13" s="63">
        <v>1000</v>
      </c>
      <c r="D13" s="63">
        <f>Tabla4[[#This Row],[CANTIDAD]]*Tabla4[[#This Row],[COSTO]]</f>
        <v>5000</v>
      </c>
      <c r="E13" s="87">
        <v>1500</v>
      </c>
      <c r="F13" s="98" t="s">
        <v>568</v>
      </c>
    </row>
    <row r="14" spans="1:6" ht="16.5" x14ac:dyDescent="0.25">
      <c r="A14" s="2" t="s">
        <v>17</v>
      </c>
      <c r="B14" s="62">
        <v>9</v>
      </c>
      <c r="C14" s="63">
        <v>1000</v>
      </c>
      <c r="D14" s="63">
        <f>Tabla4[[#This Row],[CANTIDAD]]*Tabla4[[#This Row],[COSTO]]</f>
        <v>9000</v>
      </c>
      <c r="E14" s="87">
        <v>1500</v>
      </c>
      <c r="F14" s="97" t="s">
        <v>568</v>
      </c>
    </row>
    <row r="15" spans="1:6" ht="16.5" x14ac:dyDescent="0.25">
      <c r="A15" s="2" t="s">
        <v>18</v>
      </c>
      <c r="B15" s="62">
        <v>5</v>
      </c>
      <c r="C15" s="63">
        <v>1000</v>
      </c>
      <c r="D15" s="63">
        <f>Tabla4[[#This Row],[CANTIDAD]]*Tabla4[[#This Row],[COSTO]]</f>
        <v>5000</v>
      </c>
      <c r="E15" s="87">
        <v>1500</v>
      </c>
      <c r="F15" s="98" t="s">
        <v>568</v>
      </c>
    </row>
    <row r="16" spans="1:6" ht="16.5" x14ac:dyDescent="0.25">
      <c r="A16" s="2" t="s">
        <v>19</v>
      </c>
      <c r="B16" s="62">
        <v>4</v>
      </c>
      <c r="C16" s="63">
        <v>1000</v>
      </c>
      <c r="D16" s="63">
        <f>Tabla4[[#This Row],[CANTIDAD]]*Tabla4[[#This Row],[COSTO]]</f>
        <v>4000</v>
      </c>
      <c r="E16" s="87">
        <v>1500</v>
      </c>
      <c r="F16" s="97" t="s">
        <v>568</v>
      </c>
    </row>
    <row r="17" spans="1:6" ht="16.5" x14ac:dyDescent="0.25">
      <c r="A17" s="2" t="s">
        <v>20</v>
      </c>
      <c r="B17" s="62">
        <v>3</v>
      </c>
      <c r="C17" s="63">
        <v>1529</v>
      </c>
      <c r="D17" s="63">
        <f>Tabla4[[#This Row],[CANTIDAD]]*Tabla4[[#This Row],[COSTO]]</f>
        <v>4587</v>
      </c>
      <c r="E17" s="87">
        <v>2200</v>
      </c>
      <c r="F17" s="98" t="s">
        <v>568</v>
      </c>
    </row>
    <row r="18" spans="1:6" ht="16.5" x14ac:dyDescent="0.25">
      <c r="A18" s="2" t="s">
        <v>21</v>
      </c>
      <c r="B18" s="62">
        <v>15</v>
      </c>
      <c r="C18" s="66">
        <v>990</v>
      </c>
      <c r="D18" s="63">
        <f>Tabla4[[#This Row],[CANTIDAD]]*Tabla4[[#This Row],[COSTO]]</f>
        <v>14850</v>
      </c>
      <c r="E18" s="87">
        <v>1500</v>
      </c>
      <c r="F18" s="97" t="s">
        <v>568</v>
      </c>
    </row>
    <row r="19" spans="1:6" ht="16.5" x14ac:dyDescent="0.25">
      <c r="A19" s="2" t="s">
        <v>22</v>
      </c>
      <c r="B19" s="62">
        <v>10</v>
      </c>
      <c r="C19" s="66">
        <v>760</v>
      </c>
      <c r="D19" s="63">
        <f>Tabla4[[#This Row],[CANTIDAD]]*Tabla4[[#This Row],[COSTO]]</f>
        <v>7600</v>
      </c>
      <c r="E19" s="87">
        <v>1100</v>
      </c>
      <c r="F19" s="98" t="s">
        <v>568</v>
      </c>
    </row>
    <row r="20" spans="1:6" ht="16.5" x14ac:dyDescent="0.25">
      <c r="A20" s="2" t="s">
        <v>23</v>
      </c>
      <c r="B20" s="62">
        <v>100</v>
      </c>
      <c r="C20" s="63">
        <v>1720</v>
      </c>
      <c r="D20" s="63">
        <f>Tabla4[[#This Row],[CANTIDAD]]*Tabla4[[#This Row],[COSTO]]</f>
        <v>172000</v>
      </c>
      <c r="E20" s="88">
        <v>50</v>
      </c>
      <c r="F20" s="97" t="s">
        <v>568</v>
      </c>
    </row>
    <row r="21" spans="1:6" ht="16.5" x14ac:dyDescent="0.25">
      <c r="A21" s="2" t="s">
        <v>24</v>
      </c>
      <c r="B21" s="62">
        <v>5</v>
      </c>
      <c r="C21" s="63">
        <v>1000</v>
      </c>
      <c r="D21" s="63">
        <f>Tabla4[[#This Row],[CANTIDAD]]*Tabla4[[#This Row],[COSTO]]</f>
        <v>5000</v>
      </c>
      <c r="E21" s="87">
        <v>1500</v>
      </c>
      <c r="F21" s="98" t="s">
        <v>568</v>
      </c>
    </row>
    <row r="22" spans="1:6" ht="16.5" x14ac:dyDescent="0.25">
      <c r="A22" s="2" t="s">
        <v>25</v>
      </c>
      <c r="B22" s="62">
        <v>5</v>
      </c>
      <c r="C22" s="63">
        <v>1000</v>
      </c>
      <c r="D22" s="63">
        <f>Tabla4[[#This Row],[CANTIDAD]]*Tabla4[[#This Row],[COSTO]]</f>
        <v>5000</v>
      </c>
      <c r="E22" s="87">
        <v>1500</v>
      </c>
      <c r="F22" s="97" t="s">
        <v>568</v>
      </c>
    </row>
    <row r="23" spans="1:6" ht="16.5" x14ac:dyDescent="0.25">
      <c r="A23" s="2" t="s">
        <v>26</v>
      </c>
      <c r="B23" s="62">
        <v>8</v>
      </c>
      <c r="C23" s="66">
        <v>990</v>
      </c>
      <c r="D23" s="63">
        <f>Tabla4[[#This Row],[CANTIDAD]]*Tabla4[[#This Row],[COSTO]]</f>
        <v>7920</v>
      </c>
      <c r="E23" s="87">
        <v>1500</v>
      </c>
      <c r="F23" s="98" t="s">
        <v>568</v>
      </c>
    </row>
    <row r="24" spans="1:6" ht="16.5" x14ac:dyDescent="0.25">
      <c r="A24" s="2" t="s">
        <v>27</v>
      </c>
      <c r="B24" s="62">
        <v>7</v>
      </c>
      <c r="C24" s="63">
        <v>1000</v>
      </c>
      <c r="D24" s="63">
        <f>Tabla4[[#This Row],[CANTIDAD]]*Tabla4[[#This Row],[COSTO]]</f>
        <v>7000</v>
      </c>
      <c r="E24" s="87">
        <v>1500</v>
      </c>
      <c r="F24" s="97" t="s">
        <v>568</v>
      </c>
    </row>
    <row r="25" spans="1:6" ht="16.5" x14ac:dyDescent="0.25">
      <c r="A25" s="2" t="s">
        <v>28</v>
      </c>
      <c r="B25" s="62">
        <v>3</v>
      </c>
      <c r="C25" s="63">
        <v>1540</v>
      </c>
      <c r="D25" s="63">
        <f>Tabla4[[#This Row],[CANTIDAD]]*Tabla4[[#This Row],[COSTO]]</f>
        <v>4620</v>
      </c>
      <c r="E25" s="87">
        <v>2200</v>
      </c>
      <c r="F25" s="98" t="s">
        <v>569</v>
      </c>
    </row>
    <row r="26" spans="1:6" ht="16.5" x14ac:dyDescent="0.25">
      <c r="A26" s="2" t="s">
        <v>29</v>
      </c>
      <c r="B26" s="62">
        <v>40</v>
      </c>
      <c r="C26" s="63">
        <v>1560</v>
      </c>
      <c r="D26" s="63">
        <f>Tabla4[[#This Row],[CANTIDAD]]*Tabla4[[#This Row],[COSTO]]</f>
        <v>62400</v>
      </c>
      <c r="E26" s="88">
        <v>250</v>
      </c>
      <c r="F26" s="97" t="s">
        <v>569</v>
      </c>
    </row>
    <row r="27" spans="1:6" ht="16.5" x14ac:dyDescent="0.25">
      <c r="A27" s="2" t="s">
        <v>30</v>
      </c>
      <c r="B27" s="62">
        <v>40</v>
      </c>
      <c r="C27" s="63">
        <v>1560</v>
      </c>
      <c r="D27" s="63">
        <f>Tabla4[[#This Row],[CANTIDAD]]*Tabla4[[#This Row],[COSTO]]</f>
        <v>62400</v>
      </c>
      <c r="E27" s="88">
        <v>250</v>
      </c>
      <c r="F27" s="98" t="s">
        <v>568</v>
      </c>
    </row>
    <row r="28" spans="1:6" ht="16.5" x14ac:dyDescent="0.25">
      <c r="A28" s="2" t="s">
        <v>31</v>
      </c>
      <c r="B28" s="62">
        <v>40</v>
      </c>
      <c r="C28" s="63">
        <v>1560</v>
      </c>
      <c r="D28" s="63">
        <f>Tabla4[[#This Row],[CANTIDAD]]*Tabla4[[#This Row],[COSTO]]</f>
        <v>62400</v>
      </c>
      <c r="E28" s="88">
        <v>250</v>
      </c>
      <c r="F28" s="97" t="s">
        <v>568</v>
      </c>
    </row>
    <row r="29" spans="1:6" ht="16.5" x14ac:dyDescent="0.25">
      <c r="A29" s="2" t="s">
        <v>32</v>
      </c>
      <c r="B29" s="62">
        <v>40</v>
      </c>
      <c r="C29" s="63">
        <v>1560</v>
      </c>
      <c r="D29" s="63">
        <f>Tabla4[[#This Row],[CANTIDAD]]*Tabla4[[#This Row],[COSTO]]</f>
        <v>62400</v>
      </c>
      <c r="E29" s="88">
        <v>250</v>
      </c>
      <c r="F29" s="98" t="s">
        <v>569</v>
      </c>
    </row>
    <row r="30" spans="1:6" ht="16.5" x14ac:dyDescent="0.25">
      <c r="A30" s="2" t="s">
        <v>33</v>
      </c>
      <c r="B30" s="62">
        <v>40</v>
      </c>
      <c r="C30" s="63">
        <v>1560</v>
      </c>
      <c r="D30" s="63">
        <f>Tabla4[[#This Row],[CANTIDAD]]*Tabla4[[#This Row],[COSTO]]</f>
        <v>62400</v>
      </c>
      <c r="E30" s="88">
        <v>250</v>
      </c>
      <c r="F30" s="97" t="s">
        <v>569</v>
      </c>
    </row>
    <row r="31" spans="1:6" ht="16.5" x14ac:dyDescent="0.25">
      <c r="A31" s="2" t="s">
        <v>34</v>
      </c>
      <c r="B31" s="62">
        <v>40</v>
      </c>
      <c r="C31" s="63">
        <v>1560</v>
      </c>
      <c r="D31" s="63">
        <f>Tabla4[[#This Row],[CANTIDAD]]*Tabla4[[#This Row],[COSTO]]</f>
        <v>62400</v>
      </c>
      <c r="E31" s="88">
        <v>250</v>
      </c>
      <c r="F31" s="98" t="s">
        <v>569</v>
      </c>
    </row>
    <row r="32" spans="1:6" ht="16.5" x14ac:dyDescent="0.25">
      <c r="A32" s="2" t="s">
        <v>35</v>
      </c>
      <c r="B32" s="62">
        <v>40</v>
      </c>
      <c r="C32" s="63">
        <v>1560</v>
      </c>
      <c r="D32" s="63">
        <f>Tabla4[[#This Row],[CANTIDAD]]*Tabla4[[#This Row],[COSTO]]</f>
        <v>62400</v>
      </c>
      <c r="E32" s="88">
        <v>250</v>
      </c>
      <c r="F32" s="97" t="s">
        <v>568</v>
      </c>
    </row>
    <row r="33" spans="1:6" ht="16.5" x14ac:dyDescent="0.25">
      <c r="A33" s="2" t="s">
        <v>36</v>
      </c>
      <c r="B33" s="62">
        <v>1</v>
      </c>
      <c r="C33" s="66">
        <v>499</v>
      </c>
      <c r="D33" s="66">
        <f>Tabla4[[#This Row],[CANTIDAD]]*Tabla4[[#This Row],[COSTO]]</f>
        <v>499</v>
      </c>
      <c r="E33" s="88">
        <v>700</v>
      </c>
      <c r="F33" s="98" t="s">
        <v>568</v>
      </c>
    </row>
    <row r="34" spans="1:6" ht="30" x14ac:dyDescent="0.25">
      <c r="A34" s="2" t="s">
        <v>37</v>
      </c>
      <c r="B34" s="62">
        <v>150</v>
      </c>
      <c r="C34" s="66">
        <v>770</v>
      </c>
      <c r="D34" s="63">
        <f>Tabla4[[#This Row],[CANTIDAD]]*Tabla4[[#This Row],[COSTO]]</f>
        <v>115500</v>
      </c>
      <c r="E34" s="88">
        <v>50</v>
      </c>
      <c r="F34" s="97" t="s">
        <v>568</v>
      </c>
    </row>
    <row r="35" spans="1:6" ht="16.5" x14ac:dyDescent="0.25">
      <c r="A35" s="2" t="s">
        <v>38</v>
      </c>
      <c r="B35" s="62">
        <v>20</v>
      </c>
      <c r="C35" s="63">
        <v>3430</v>
      </c>
      <c r="D35" s="63">
        <f>Tabla4[[#This Row],[CANTIDAD]]*Tabla4[[#This Row],[COSTO]]</f>
        <v>68600</v>
      </c>
      <c r="E35" s="88">
        <v>250</v>
      </c>
      <c r="F35" s="98" t="s">
        <v>569</v>
      </c>
    </row>
    <row r="36" spans="1:6" ht="16.5" x14ac:dyDescent="0.25">
      <c r="A36" s="2" t="s">
        <v>39</v>
      </c>
      <c r="B36" s="62">
        <v>3</v>
      </c>
      <c r="C36" s="66">
        <v>702</v>
      </c>
      <c r="D36" s="63">
        <f>Tabla4[[#This Row],[CANTIDAD]]*Tabla4[[#This Row],[COSTO]]</f>
        <v>2106</v>
      </c>
      <c r="E36" s="87">
        <v>1000</v>
      </c>
      <c r="F36" s="97" t="s">
        <v>568</v>
      </c>
    </row>
    <row r="37" spans="1:6" ht="16.5" x14ac:dyDescent="0.25">
      <c r="A37" s="2" t="s">
        <v>40</v>
      </c>
      <c r="B37" s="62">
        <v>28</v>
      </c>
      <c r="C37" s="66">
        <v>490</v>
      </c>
      <c r="D37" s="63">
        <f>Tabla4[[#This Row],[CANTIDAD]]*Tabla4[[#This Row],[COSTO]]</f>
        <v>13720</v>
      </c>
      <c r="E37" s="88">
        <v>700</v>
      </c>
      <c r="F37" s="98" t="s">
        <v>568</v>
      </c>
    </row>
    <row r="38" spans="1:6" ht="30" x14ac:dyDescent="0.25">
      <c r="A38" s="2" t="s">
        <v>41</v>
      </c>
      <c r="B38" s="62">
        <v>60</v>
      </c>
      <c r="C38" s="63">
        <v>1820</v>
      </c>
      <c r="D38" s="63">
        <f>Tabla4[[#This Row],[CANTIDAD]]*Tabla4[[#This Row],[COSTO]]</f>
        <v>109200</v>
      </c>
      <c r="E38" s="88">
        <v>300</v>
      </c>
      <c r="F38" s="97" t="s">
        <v>568</v>
      </c>
    </row>
    <row r="39" spans="1:6" ht="16.5" x14ac:dyDescent="0.25">
      <c r="A39" s="86" t="s">
        <v>560</v>
      </c>
      <c r="B39" s="62">
        <v>25</v>
      </c>
      <c r="C39" s="63">
        <v>3100</v>
      </c>
      <c r="D39" s="63">
        <f>Tabla4[[#This Row],[CANTIDAD]]*Tabla4[[#This Row],[COSTO]]</f>
        <v>77500</v>
      </c>
      <c r="E39" s="88">
        <v>300</v>
      </c>
      <c r="F39" s="98" t="s">
        <v>568</v>
      </c>
    </row>
    <row r="40" spans="1:6" ht="16.5" x14ac:dyDescent="0.25">
      <c r="A40" s="2" t="s">
        <v>43</v>
      </c>
      <c r="B40" s="62">
        <v>25</v>
      </c>
      <c r="C40" s="63">
        <v>6200</v>
      </c>
      <c r="D40" s="63">
        <f>Tabla4[[#This Row],[CANTIDAD]]*Tabla4[[#This Row],[COSTO]]</f>
        <v>155000</v>
      </c>
      <c r="E40" s="88">
        <v>450</v>
      </c>
      <c r="F40" s="97" t="s">
        <v>568</v>
      </c>
    </row>
    <row r="41" spans="1:6" ht="16.5" x14ac:dyDescent="0.25">
      <c r="A41" s="2" t="s">
        <v>44</v>
      </c>
      <c r="B41" s="62">
        <v>25</v>
      </c>
      <c r="C41" s="63">
        <v>12550</v>
      </c>
      <c r="D41" s="63">
        <f>Tabla4[[#This Row],[CANTIDAD]]*Tabla4[[#This Row],[COSTO]]</f>
        <v>313750</v>
      </c>
      <c r="E41" s="88">
        <v>950</v>
      </c>
      <c r="F41" s="98" t="s">
        <v>568</v>
      </c>
    </row>
    <row r="42" spans="1:6" ht="16.5" x14ac:dyDescent="0.25">
      <c r="A42" s="2" t="s">
        <v>45</v>
      </c>
      <c r="B42" s="62">
        <v>36</v>
      </c>
      <c r="C42" s="66">
        <v>290</v>
      </c>
      <c r="D42" s="63">
        <f>Tabla4[[#This Row],[CANTIDAD]]*Tabla4[[#This Row],[COSTO]]</f>
        <v>10440</v>
      </c>
      <c r="E42" s="88">
        <v>450</v>
      </c>
      <c r="F42" s="97" t="s">
        <v>568</v>
      </c>
    </row>
    <row r="43" spans="1:6" ht="16.5" x14ac:dyDescent="0.25">
      <c r="A43" s="2" t="s">
        <v>46</v>
      </c>
      <c r="B43" s="62">
        <v>5</v>
      </c>
      <c r="C43" s="66">
        <v>290</v>
      </c>
      <c r="D43" s="63">
        <f>Tabla4[[#This Row],[CANTIDAD]]*Tabla4[[#This Row],[COSTO]]</f>
        <v>1450</v>
      </c>
      <c r="E43" s="88">
        <v>450</v>
      </c>
      <c r="F43" s="98" t="s">
        <v>568</v>
      </c>
    </row>
    <row r="44" spans="1:6" ht="30" x14ac:dyDescent="0.25">
      <c r="A44" s="2" t="s">
        <v>47</v>
      </c>
      <c r="B44" s="62">
        <v>300</v>
      </c>
      <c r="C44" s="66">
        <v>300</v>
      </c>
      <c r="D44" s="66">
        <f>Tabla4[[#This Row],[CANTIDAD]]*Tabla4[[#This Row],[COSTO]]</f>
        <v>90000</v>
      </c>
      <c r="E44" s="88">
        <v>10</v>
      </c>
      <c r="F44" s="97" t="s">
        <v>568</v>
      </c>
    </row>
    <row r="45" spans="1:6" ht="30" x14ac:dyDescent="0.25">
      <c r="A45" s="2" t="s">
        <v>48</v>
      </c>
      <c r="B45" s="62">
        <v>300</v>
      </c>
      <c r="C45" s="66">
        <v>300</v>
      </c>
      <c r="D45" s="66">
        <f>Tabla4[[#This Row],[CANTIDAD]]*Tabla4[[#This Row],[COSTO]]</f>
        <v>90000</v>
      </c>
      <c r="E45" s="88">
        <v>10</v>
      </c>
      <c r="F45" s="98" t="s">
        <v>568</v>
      </c>
    </row>
    <row r="46" spans="1:6" ht="30" x14ac:dyDescent="0.25">
      <c r="A46" s="2" t="s">
        <v>49</v>
      </c>
      <c r="B46" s="62">
        <v>12</v>
      </c>
      <c r="C46" s="63">
        <v>2220</v>
      </c>
      <c r="D46" s="63">
        <f>Tabla4[[#This Row],[CANTIDAD]]*Tabla4[[#This Row],[COSTO]]</f>
        <v>26640</v>
      </c>
      <c r="E46" s="88">
        <v>550</v>
      </c>
      <c r="F46" s="97" t="s">
        <v>568</v>
      </c>
    </row>
    <row r="47" spans="1:6" ht="30" x14ac:dyDescent="0.25">
      <c r="A47" s="2" t="s">
        <v>50</v>
      </c>
      <c r="B47" s="62">
        <v>24</v>
      </c>
      <c r="C47" s="63">
        <v>6960</v>
      </c>
      <c r="D47" s="63">
        <f>Tabla4[[#This Row],[CANTIDAD]]*Tabla4[[#This Row],[COSTO]]</f>
        <v>167040</v>
      </c>
      <c r="E47" s="88">
        <v>850</v>
      </c>
      <c r="F47" s="98" t="s">
        <v>568</v>
      </c>
    </row>
    <row r="48" spans="1:6" ht="30" x14ac:dyDescent="0.25">
      <c r="A48" s="2" t="s">
        <v>51</v>
      </c>
      <c r="B48" s="62">
        <v>16</v>
      </c>
      <c r="C48" s="63">
        <v>5520</v>
      </c>
      <c r="D48" s="63">
        <f>Tabla4[[#This Row],[CANTIDAD]]*Tabla4[[#This Row],[COSTO]]</f>
        <v>88320</v>
      </c>
      <c r="E48" s="87">
        <v>1000</v>
      </c>
      <c r="F48" s="97" t="s">
        <v>568</v>
      </c>
    </row>
    <row r="49" spans="1:6" ht="16.5" x14ac:dyDescent="0.25">
      <c r="A49" s="2" t="s">
        <v>52</v>
      </c>
      <c r="B49" s="62">
        <v>3</v>
      </c>
      <c r="C49" s="63">
        <v>1560</v>
      </c>
      <c r="D49" s="63">
        <f>Tabla4[[#This Row],[CANTIDAD]]*Tabla4[[#This Row],[COSTO]]</f>
        <v>4680</v>
      </c>
      <c r="E49" s="87">
        <v>2200</v>
      </c>
      <c r="F49" s="98" t="s">
        <v>568</v>
      </c>
    </row>
    <row r="50" spans="1:6" ht="16.5" x14ac:dyDescent="0.25">
      <c r="A50" s="2" t="s">
        <v>53</v>
      </c>
      <c r="B50" s="62">
        <v>3</v>
      </c>
      <c r="C50" s="63">
        <v>2340</v>
      </c>
      <c r="D50" s="63">
        <f>Tabla4[[#This Row],[CANTIDAD]]*Tabla4[[#This Row],[COSTO]]</f>
        <v>7020</v>
      </c>
      <c r="E50" s="87">
        <v>3300</v>
      </c>
      <c r="F50" s="97" t="s">
        <v>568</v>
      </c>
    </row>
    <row r="51" spans="1:6" ht="16.5" x14ac:dyDescent="0.25">
      <c r="A51" s="2" t="s">
        <v>54</v>
      </c>
      <c r="B51" s="62">
        <v>6</v>
      </c>
      <c r="C51" s="66">
        <v>240</v>
      </c>
      <c r="D51" s="63">
        <f>Tabla4[[#This Row],[CANTIDAD]]*Tabla4[[#This Row],[COSTO]]</f>
        <v>1440</v>
      </c>
      <c r="E51" s="88">
        <v>350</v>
      </c>
      <c r="F51" s="98" t="s">
        <v>568</v>
      </c>
    </row>
    <row r="52" spans="1:6" ht="16.5" x14ac:dyDescent="0.25">
      <c r="A52" s="2" t="s">
        <v>55</v>
      </c>
      <c r="B52" s="62">
        <v>6</v>
      </c>
      <c r="C52" s="66">
        <v>280</v>
      </c>
      <c r="D52" s="63">
        <f>Tabla4[[#This Row],[CANTIDAD]]*Tabla4[[#This Row],[COSTO]]</f>
        <v>1680</v>
      </c>
      <c r="E52" s="88">
        <v>400</v>
      </c>
      <c r="F52" s="97" t="s">
        <v>568</v>
      </c>
    </row>
    <row r="53" spans="1:6" ht="16.5" x14ac:dyDescent="0.25">
      <c r="A53" s="2" t="s">
        <v>56</v>
      </c>
      <c r="B53" s="62">
        <v>12</v>
      </c>
      <c r="C53" s="63">
        <v>7050</v>
      </c>
      <c r="D53" s="63">
        <f>Tabla4[[#This Row],[CANTIDAD]]*Tabla4[[#This Row],[COSTO]]</f>
        <v>84600</v>
      </c>
      <c r="E53" s="88">
        <v>850</v>
      </c>
      <c r="F53" s="98" t="s">
        <v>568</v>
      </c>
    </row>
    <row r="54" spans="1:6" ht="16.5" x14ac:dyDescent="0.25">
      <c r="A54" s="2" t="s">
        <v>57</v>
      </c>
      <c r="B54" s="62">
        <v>12</v>
      </c>
      <c r="C54" s="63">
        <v>12350</v>
      </c>
      <c r="D54" s="63">
        <f>Tabla4[[#This Row],[CANTIDAD]]*Tabla4[[#This Row],[COSTO]]</f>
        <v>148200</v>
      </c>
      <c r="E54" s="87">
        <v>1500</v>
      </c>
      <c r="F54" s="97" t="s">
        <v>568</v>
      </c>
    </row>
    <row r="55" spans="1:6" ht="16.5" x14ac:dyDescent="0.25">
      <c r="A55" s="2" t="s">
        <v>58</v>
      </c>
      <c r="B55" s="62">
        <v>10</v>
      </c>
      <c r="C55" s="66">
        <v>490</v>
      </c>
      <c r="D55" s="63">
        <f>Tabla4[[#This Row],[CANTIDAD]]*Tabla4[[#This Row],[COSTO]]</f>
        <v>4900</v>
      </c>
      <c r="E55" s="88">
        <v>800</v>
      </c>
      <c r="F55" s="98" t="s">
        <v>568</v>
      </c>
    </row>
    <row r="56" spans="1:6" ht="16.5" x14ac:dyDescent="0.25">
      <c r="A56" s="2" t="s">
        <v>59</v>
      </c>
      <c r="B56" s="62">
        <v>1</v>
      </c>
      <c r="C56" s="63">
        <v>1355</v>
      </c>
      <c r="D56" s="63">
        <f>Tabla4[[#This Row],[CANTIDAD]]*Tabla4[[#This Row],[COSTO]]</f>
        <v>1355</v>
      </c>
      <c r="E56" s="87">
        <v>1900</v>
      </c>
      <c r="F56" s="97" t="s">
        <v>568</v>
      </c>
    </row>
    <row r="57" spans="1:6" ht="16.5" x14ac:dyDescent="0.25">
      <c r="A57" s="2" t="s">
        <v>60</v>
      </c>
      <c r="B57" s="62">
        <v>12</v>
      </c>
      <c r="C57" s="63">
        <v>8290</v>
      </c>
      <c r="D57" s="63">
        <f>Tabla4[[#This Row],[CANTIDAD]]*Tabla4[[#This Row],[COSTO]]</f>
        <v>99480</v>
      </c>
      <c r="E57" s="87">
        <v>1000</v>
      </c>
      <c r="F57" s="98" t="s">
        <v>568</v>
      </c>
    </row>
    <row r="58" spans="1:6" ht="16.5" x14ac:dyDescent="0.25">
      <c r="A58" s="2" t="s">
        <v>61</v>
      </c>
      <c r="B58" s="62">
        <v>3</v>
      </c>
      <c r="C58" s="63">
        <v>2290</v>
      </c>
      <c r="D58" s="63">
        <f>Tabla4[[#This Row],[CANTIDAD]]*Tabla4[[#This Row],[COSTO]]</f>
        <v>6870</v>
      </c>
      <c r="E58" s="87">
        <v>3500</v>
      </c>
      <c r="F58" s="97" t="s">
        <v>568</v>
      </c>
    </row>
    <row r="59" spans="1:6" ht="16.5" x14ac:dyDescent="0.25">
      <c r="A59" s="2" t="s">
        <v>62</v>
      </c>
      <c r="B59" s="62">
        <v>6</v>
      </c>
      <c r="C59" s="63">
        <v>3200</v>
      </c>
      <c r="D59" s="63">
        <f>Tabla4[[#This Row],[CANTIDAD]]*Tabla4[[#This Row],[COSTO]]</f>
        <v>19200</v>
      </c>
      <c r="E59" s="87">
        <v>4500</v>
      </c>
      <c r="F59" s="98" t="s">
        <v>568</v>
      </c>
    </row>
    <row r="60" spans="1:6" ht="30" x14ac:dyDescent="0.25">
      <c r="A60" s="2" t="s">
        <v>63</v>
      </c>
      <c r="B60" s="62">
        <v>25</v>
      </c>
      <c r="C60" s="63">
        <v>4750</v>
      </c>
      <c r="D60" s="63">
        <f>Tabla4[[#This Row],[CANTIDAD]]*Tabla4[[#This Row],[COSTO]]</f>
        <v>118750</v>
      </c>
      <c r="E60" s="88">
        <v>300</v>
      </c>
      <c r="F60" s="97" t="s">
        <v>568</v>
      </c>
    </row>
    <row r="61" spans="1:6" ht="16.5" x14ac:dyDescent="0.25">
      <c r="A61" s="2" t="s">
        <v>64</v>
      </c>
      <c r="B61" s="62">
        <v>10</v>
      </c>
      <c r="C61" s="66">
        <v>499</v>
      </c>
      <c r="D61" s="63">
        <f>Tabla4[[#This Row],[CANTIDAD]]*Tabla4[[#This Row],[COSTO]]</f>
        <v>4990</v>
      </c>
      <c r="E61" s="88">
        <v>700</v>
      </c>
      <c r="F61" s="98" t="s">
        <v>568</v>
      </c>
    </row>
    <row r="62" spans="1:6" ht="16.5" x14ac:dyDescent="0.25">
      <c r="A62" s="2" t="s">
        <v>65</v>
      </c>
      <c r="B62" s="62">
        <v>10</v>
      </c>
      <c r="C62" s="66">
        <v>499</v>
      </c>
      <c r="D62" s="63">
        <f>Tabla4[[#This Row],[CANTIDAD]]*Tabla4[[#This Row],[COSTO]]</f>
        <v>4990</v>
      </c>
      <c r="E62" s="88">
        <v>700</v>
      </c>
      <c r="F62" s="97" t="s">
        <v>568</v>
      </c>
    </row>
    <row r="63" spans="1:6" ht="16.5" x14ac:dyDescent="0.25">
      <c r="A63" s="2" t="s">
        <v>66</v>
      </c>
      <c r="B63" s="62">
        <v>30</v>
      </c>
      <c r="C63" s="66">
        <v>549</v>
      </c>
      <c r="D63" s="63">
        <f>Tabla4[[#This Row],[CANTIDAD]]*Tabla4[[#This Row],[COSTO]]</f>
        <v>16470</v>
      </c>
      <c r="E63" s="88">
        <v>800</v>
      </c>
      <c r="F63" s="98" t="s">
        <v>568</v>
      </c>
    </row>
    <row r="64" spans="1:6" ht="16.5" x14ac:dyDescent="0.25">
      <c r="A64" s="2" t="s">
        <v>67</v>
      </c>
      <c r="B64" s="62">
        <v>10</v>
      </c>
      <c r="C64" s="66">
        <v>499</v>
      </c>
      <c r="D64" s="63">
        <f>Tabla4[[#This Row],[CANTIDAD]]*Tabla4[[#This Row],[COSTO]]</f>
        <v>4990</v>
      </c>
      <c r="E64" s="88">
        <v>800</v>
      </c>
      <c r="F64" s="97" t="s">
        <v>568</v>
      </c>
    </row>
    <row r="65" spans="1:6" ht="16.5" x14ac:dyDescent="0.25">
      <c r="A65" s="2" t="s">
        <v>68</v>
      </c>
      <c r="B65" s="62">
        <v>4</v>
      </c>
      <c r="C65" s="66">
        <v>565</v>
      </c>
      <c r="D65" s="63">
        <f>Tabla4[[#This Row],[CANTIDAD]]*Tabla4[[#This Row],[COSTO]]</f>
        <v>2260</v>
      </c>
      <c r="E65" s="88">
        <v>800</v>
      </c>
      <c r="F65" s="98" t="s">
        <v>568</v>
      </c>
    </row>
    <row r="66" spans="1:6" ht="16.5" x14ac:dyDescent="0.25">
      <c r="A66" s="2" t="s">
        <v>69</v>
      </c>
      <c r="B66" s="62">
        <v>4</v>
      </c>
      <c r="C66" s="66">
        <v>565</v>
      </c>
      <c r="D66" s="63">
        <f>Tabla4[[#This Row],[CANTIDAD]]*Tabla4[[#This Row],[COSTO]]</f>
        <v>2260</v>
      </c>
      <c r="E66" s="88">
        <v>800</v>
      </c>
      <c r="F66" s="97" t="s">
        <v>568</v>
      </c>
    </row>
    <row r="67" spans="1:6" ht="16.5" x14ac:dyDescent="0.25">
      <c r="A67" s="2" t="s">
        <v>70</v>
      </c>
      <c r="B67" s="62">
        <v>60</v>
      </c>
      <c r="C67" s="63">
        <v>11000</v>
      </c>
      <c r="D67" s="63">
        <f>Tabla4[[#This Row],[CANTIDAD]]*Tabla4[[#This Row],[COSTO]]</f>
        <v>660000</v>
      </c>
      <c r="E67" s="87">
        <v>1600</v>
      </c>
      <c r="F67" s="98" t="s">
        <v>568</v>
      </c>
    </row>
    <row r="68" spans="1:6" ht="16.5" x14ac:dyDescent="0.25">
      <c r="A68" s="2" t="s">
        <v>71</v>
      </c>
      <c r="B68" s="62">
        <v>50</v>
      </c>
      <c r="C68" s="63">
        <v>12000</v>
      </c>
      <c r="D68" s="63">
        <f>Tabla4[[#This Row],[CANTIDAD]]*Tabla4[[#This Row],[COSTO]]</f>
        <v>600000</v>
      </c>
      <c r="E68" s="87">
        <v>1800</v>
      </c>
      <c r="F68" s="97" t="s">
        <v>568</v>
      </c>
    </row>
    <row r="69" spans="1:6" ht="16.5" x14ac:dyDescent="0.25">
      <c r="A69" s="2" t="s">
        <v>72</v>
      </c>
      <c r="B69" s="62">
        <v>10</v>
      </c>
      <c r="C69" s="63">
        <v>11900</v>
      </c>
      <c r="D69" s="63">
        <f>Tabla4[[#This Row],[CANTIDAD]]*Tabla4[[#This Row],[COSTO]]</f>
        <v>119000</v>
      </c>
      <c r="E69" s="87">
        <v>1800</v>
      </c>
      <c r="F69" s="98" t="s">
        <v>568</v>
      </c>
    </row>
    <row r="70" spans="1:6" ht="30" x14ac:dyDescent="0.25">
      <c r="A70" s="2" t="s">
        <v>73</v>
      </c>
      <c r="B70" s="62">
        <v>10</v>
      </c>
      <c r="C70" s="66">
        <v>220</v>
      </c>
      <c r="D70" s="63">
        <f>Tabla4[[#This Row],[CANTIDAD]]*Tabla4[[#This Row],[COSTO]]</f>
        <v>2200</v>
      </c>
      <c r="E70" s="88">
        <v>400</v>
      </c>
      <c r="F70" s="97" t="s">
        <v>568</v>
      </c>
    </row>
    <row r="71" spans="1:6" ht="30" x14ac:dyDescent="0.25">
      <c r="A71" s="2" t="s">
        <v>74</v>
      </c>
      <c r="B71" s="62">
        <v>10</v>
      </c>
      <c r="C71" s="66">
        <v>390</v>
      </c>
      <c r="D71" s="63">
        <f>Tabla4[[#This Row],[CANTIDAD]]*Tabla4[[#This Row],[COSTO]]</f>
        <v>3900</v>
      </c>
      <c r="E71" s="88">
        <v>800</v>
      </c>
      <c r="F71" s="98" t="s">
        <v>568</v>
      </c>
    </row>
    <row r="72" spans="1:6" ht="16.5" x14ac:dyDescent="0.25">
      <c r="A72" s="2" t="s">
        <v>75</v>
      </c>
      <c r="B72" s="62">
        <v>10</v>
      </c>
      <c r="C72" s="66">
        <v>190</v>
      </c>
      <c r="D72" s="63">
        <f>Tabla4[[#This Row],[CANTIDAD]]*Tabla4[[#This Row],[COSTO]]</f>
        <v>1900</v>
      </c>
      <c r="E72" s="88">
        <v>500</v>
      </c>
      <c r="F72" s="97" t="s">
        <v>568</v>
      </c>
    </row>
    <row r="73" spans="1:6" ht="16.5" x14ac:dyDescent="0.25">
      <c r="A73" s="2" t="s">
        <v>76</v>
      </c>
      <c r="B73" s="62">
        <v>12</v>
      </c>
      <c r="C73" s="63">
        <v>3450</v>
      </c>
      <c r="D73" s="63">
        <f>Tabla4[[#This Row],[CANTIDAD]]*Tabla4[[#This Row],[COSTO]]</f>
        <v>41400</v>
      </c>
      <c r="E73" s="88">
        <v>400</v>
      </c>
      <c r="F73" s="98" t="s">
        <v>568</v>
      </c>
    </row>
    <row r="74" spans="1:6" ht="16.5" x14ac:dyDescent="0.25">
      <c r="A74" s="2" t="s">
        <v>77</v>
      </c>
      <c r="B74" s="62">
        <v>12</v>
      </c>
      <c r="C74" s="63">
        <v>3450</v>
      </c>
      <c r="D74" s="63">
        <f>Tabla4[[#This Row],[CANTIDAD]]*Tabla4[[#This Row],[COSTO]]</f>
        <v>41400</v>
      </c>
      <c r="E74" s="88">
        <v>400</v>
      </c>
      <c r="F74" s="97" t="s">
        <v>568</v>
      </c>
    </row>
    <row r="75" spans="1:6" ht="16.5" x14ac:dyDescent="0.25">
      <c r="A75" s="2" t="s">
        <v>78</v>
      </c>
      <c r="B75" s="62">
        <v>12</v>
      </c>
      <c r="C75" s="63">
        <v>3450</v>
      </c>
      <c r="D75" s="63">
        <f>Tabla4[[#This Row],[CANTIDAD]]*Tabla4[[#This Row],[COSTO]]</f>
        <v>41400</v>
      </c>
      <c r="E75" s="88">
        <v>400</v>
      </c>
      <c r="F75" s="98" t="s">
        <v>568</v>
      </c>
    </row>
    <row r="76" spans="1:6" ht="16.5" x14ac:dyDescent="0.25">
      <c r="A76" s="2" t="s">
        <v>79</v>
      </c>
      <c r="B76" s="62">
        <v>12</v>
      </c>
      <c r="C76" s="63">
        <v>3450</v>
      </c>
      <c r="D76" s="63">
        <f>Tabla4[[#This Row],[CANTIDAD]]*Tabla4[[#This Row],[COSTO]]</f>
        <v>41400</v>
      </c>
      <c r="E76" s="88">
        <v>400</v>
      </c>
      <c r="F76" s="97" t="s">
        <v>569</v>
      </c>
    </row>
    <row r="77" spans="1:6" ht="16.5" x14ac:dyDescent="0.25">
      <c r="A77" s="2" t="s">
        <v>80</v>
      </c>
      <c r="B77" s="62">
        <v>100</v>
      </c>
      <c r="C77" s="63">
        <v>2970</v>
      </c>
      <c r="D77" s="63">
        <f>Tabla4[[#This Row],[CANTIDAD]]*Tabla4[[#This Row],[COSTO]]</f>
        <v>297000</v>
      </c>
      <c r="E77" s="88">
        <v>50</v>
      </c>
      <c r="F77" s="98" t="s">
        <v>568</v>
      </c>
    </row>
    <row r="78" spans="1:6" ht="16.5" x14ac:dyDescent="0.25">
      <c r="A78" s="2" t="s">
        <v>81</v>
      </c>
      <c r="B78" s="62">
        <v>5</v>
      </c>
      <c r="C78" s="63">
        <v>4890</v>
      </c>
      <c r="D78" s="63">
        <f>Tabla4[[#This Row],[CANTIDAD]]*Tabla4[[#This Row],[COSTO]]</f>
        <v>24450</v>
      </c>
      <c r="E78" s="87">
        <v>1400</v>
      </c>
      <c r="F78" s="97" t="s">
        <v>568</v>
      </c>
    </row>
    <row r="79" spans="1:6" ht="16.5" x14ac:dyDescent="0.25">
      <c r="A79" s="2" t="s">
        <v>82</v>
      </c>
      <c r="B79" s="62">
        <v>30</v>
      </c>
      <c r="C79" s="66">
        <v>270</v>
      </c>
      <c r="D79" s="66">
        <f>Tabla4[[#This Row],[CANTIDAD]]*Tabla4[[#This Row],[COSTO]]</f>
        <v>8100</v>
      </c>
      <c r="E79" s="88">
        <v>100</v>
      </c>
      <c r="F79" s="98" t="s">
        <v>568</v>
      </c>
    </row>
    <row r="80" spans="1:6" ht="16.5" x14ac:dyDescent="0.25">
      <c r="A80" s="2" t="s">
        <v>83</v>
      </c>
      <c r="B80" s="62">
        <v>30</v>
      </c>
      <c r="C80" s="66">
        <v>320</v>
      </c>
      <c r="D80" s="66">
        <f>Tabla4[[#This Row],[CANTIDAD]]*Tabla4[[#This Row],[COSTO]]</f>
        <v>9600</v>
      </c>
      <c r="E80" s="88">
        <v>150</v>
      </c>
      <c r="F80" s="97" t="s">
        <v>568</v>
      </c>
    </row>
    <row r="81" spans="1:6" ht="16.5" x14ac:dyDescent="0.25">
      <c r="A81" s="2" t="s">
        <v>84</v>
      </c>
      <c r="B81" s="62">
        <v>30</v>
      </c>
      <c r="C81" s="66">
        <v>630</v>
      </c>
      <c r="D81" s="63">
        <f>Tabla4[[#This Row],[CANTIDAD]]*Tabla4[[#This Row],[COSTO]]</f>
        <v>18900</v>
      </c>
      <c r="E81" s="88">
        <v>200</v>
      </c>
      <c r="F81" s="98" t="s">
        <v>568</v>
      </c>
    </row>
    <row r="82" spans="1:6" ht="16.5" x14ac:dyDescent="0.25">
      <c r="A82" s="2" t="s">
        <v>85</v>
      </c>
      <c r="B82" s="62">
        <v>30</v>
      </c>
      <c r="C82" s="66">
        <v>800</v>
      </c>
      <c r="D82" s="63">
        <f>Tabla4[[#This Row],[CANTIDAD]]*Tabla4[[#This Row],[COSTO]]</f>
        <v>24000</v>
      </c>
      <c r="E82" s="88">
        <v>250</v>
      </c>
      <c r="F82" s="97" t="s">
        <v>568</v>
      </c>
    </row>
    <row r="83" spans="1:6" ht="16.5" x14ac:dyDescent="0.25">
      <c r="A83" s="2" t="s">
        <v>86</v>
      </c>
      <c r="B83" s="62">
        <v>10</v>
      </c>
      <c r="C83" s="63">
        <v>1600</v>
      </c>
      <c r="D83" s="63">
        <f>Tabla4[[#This Row],[CANTIDAD]]*Tabla4[[#This Row],[COSTO]]</f>
        <v>16000</v>
      </c>
      <c r="E83" s="88">
        <v>300</v>
      </c>
      <c r="F83" s="98" t="s">
        <v>568</v>
      </c>
    </row>
    <row r="84" spans="1:6" ht="16.5" x14ac:dyDescent="0.25">
      <c r="A84" s="2" t="s">
        <v>87</v>
      </c>
      <c r="B84" s="62">
        <v>10</v>
      </c>
      <c r="C84" s="63">
        <v>1900</v>
      </c>
      <c r="D84" s="63">
        <f>Tabla4[[#This Row],[CANTIDAD]]*Tabla4[[#This Row],[COSTO]]</f>
        <v>19000</v>
      </c>
      <c r="E84" s="88">
        <v>400</v>
      </c>
      <c r="F84" s="97" t="s">
        <v>568</v>
      </c>
    </row>
    <row r="85" spans="1:6" ht="16.5" x14ac:dyDescent="0.25">
      <c r="A85" s="2" t="s">
        <v>88</v>
      </c>
      <c r="B85" s="62">
        <v>5</v>
      </c>
      <c r="C85" s="63">
        <v>1470</v>
      </c>
      <c r="D85" s="63">
        <f>Tabla4[[#This Row],[CANTIDAD]]*Tabla4[[#This Row],[COSTO]]</f>
        <v>7350</v>
      </c>
      <c r="E85" s="88">
        <v>450</v>
      </c>
      <c r="F85" s="98" t="s">
        <v>568</v>
      </c>
    </row>
    <row r="86" spans="1:6" ht="16.5" x14ac:dyDescent="0.25">
      <c r="A86" s="2" t="s">
        <v>89</v>
      </c>
      <c r="B86" s="62">
        <v>5</v>
      </c>
      <c r="C86" s="63">
        <v>3060</v>
      </c>
      <c r="D86" s="63">
        <f>Tabla4[[#This Row],[CANTIDAD]]*Tabla4[[#This Row],[COSTO]]</f>
        <v>15300</v>
      </c>
      <c r="E86" s="88">
        <v>900</v>
      </c>
      <c r="F86" s="97" t="s">
        <v>568</v>
      </c>
    </row>
    <row r="87" spans="1:6" ht="16.5" x14ac:dyDescent="0.25">
      <c r="A87" s="2" t="s">
        <v>90</v>
      </c>
      <c r="B87" s="62">
        <v>150</v>
      </c>
      <c r="C87" s="66">
        <v>910</v>
      </c>
      <c r="D87" s="63">
        <f>Tabla4[[#This Row],[CANTIDAD]]*Tabla4[[#This Row],[COSTO]]</f>
        <v>136500</v>
      </c>
      <c r="E87" s="88">
        <v>50</v>
      </c>
      <c r="F87" s="98" t="s">
        <v>568</v>
      </c>
    </row>
    <row r="88" spans="1:6" ht="16.5" x14ac:dyDescent="0.25">
      <c r="A88" s="2" t="s">
        <v>91</v>
      </c>
      <c r="B88" s="62">
        <v>20</v>
      </c>
      <c r="C88" s="63">
        <v>1560</v>
      </c>
      <c r="D88" s="63">
        <f>Tabla4[[#This Row],[CANTIDAD]]*Tabla4[[#This Row],[COSTO]]</f>
        <v>31200</v>
      </c>
      <c r="E88" s="88">
        <v>300</v>
      </c>
      <c r="F88" s="97" t="s">
        <v>568</v>
      </c>
    </row>
    <row r="89" spans="1:6" ht="16.5" x14ac:dyDescent="0.25">
      <c r="A89" s="2" t="s">
        <v>92</v>
      </c>
      <c r="B89" s="62">
        <v>20</v>
      </c>
      <c r="C89" s="63">
        <v>1560</v>
      </c>
      <c r="D89" s="63">
        <f>Tabla4[[#This Row],[CANTIDAD]]*Tabla4[[#This Row],[COSTO]]</f>
        <v>31200</v>
      </c>
      <c r="E89" s="88">
        <v>300</v>
      </c>
      <c r="F89" s="98" t="s">
        <v>568</v>
      </c>
    </row>
    <row r="90" spans="1:6" ht="16.5" x14ac:dyDescent="0.25">
      <c r="A90" s="2" t="s">
        <v>93</v>
      </c>
      <c r="B90" s="62">
        <v>20</v>
      </c>
      <c r="C90" s="63">
        <v>1560</v>
      </c>
      <c r="D90" s="63">
        <f>Tabla4[[#This Row],[CANTIDAD]]*Tabla4[[#This Row],[COSTO]]</f>
        <v>31200</v>
      </c>
      <c r="E90" s="88">
        <v>300</v>
      </c>
      <c r="F90" s="97" t="s">
        <v>568</v>
      </c>
    </row>
    <row r="91" spans="1:6" ht="16.5" x14ac:dyDescent="0.25">
      <c r="A91" s="2" t="s">
        <v>94</v>
      </c>
      <c r="B91" s="62">
        <v>20</v>
      </c>
      <c r="C91" s="63">
        <v>1560</v>
      </c>
      <c r="D91" s="63">
        <f>Tabla4[[#This Row],[CANTIDAD]]*Tabla4[[#This Row],[COSTO]]</f>
        <v>31200</v>
      </c>
      <c r="E91" s="88">
        <v>300</v>
      </c>
      <c r="F91" s="98" t="s">
        <v>568</v>
      </c>
    </row>
    <row r="92" spans="1:6" ht="16.5" x14ac:dyDescent="0.25">
      <c r="A92" s="2" t="s">
        <v>95</v>
      </c>
      <c r="B92" s="62">
        <v>20</v>
      </c>
      <c r="C92" s="63">
        <v>1560</v>
      </c>
      <c r="D92" s="63">
        <f>Tabla4[[#This Row],[CANTIDAD]]*Tabla4[[#This Row],[COSTO]]</f>
        <v>31200</v>
      </c>
      <c r="E92" s="88">
        <v>300</v>
      </c>
      <c r="F92" s="97" t="s">
        <v>568</v>
      </c>
    </row>
    <row r="93" spans="1:6" ht="16.5" x14ac:dyDescent="0.25">
      <c r="A93" s="2" t="s">
        <v>96</v>
      </c>
      <c r="B93" s="62">
        <v>20</v>
      </c>
      <c r="C93" s="63">
        <v>1560</v>
      </c>
      <c r="D93" s="63">
        <f>Tabla4[[#This Row],[CANTIDAD]]*Tabla4[[#This Row],[COSTO]]</f>
        <v>31200</v>
      </c>
      <c r="E93" s="88">
        <v>300</v>
      </c>
      <c r="F93" s="98" t="s">
        <v>568</v>
      </c>
    </row>
    <row r="94" spans="1:6" ht="16.5" x14ac:dyDescent="0.25">
      <c r="A94" s="2" t="s">
        <v>97</v>
      </c>
      <c r="B94" s="62">
        <v>20</v>
      </c>
      <c r="C94" s="63">
        <v>1560</v>
      </c>
      <c r="D94" s="63">
        <f>Tabla4[[#This Row],[CANTIDAD]]*Tabla4[[#This Row],[COSTO]]</f>
        <v>31200</v>
      </c>
      <c r="E94" s="88">
        <v>300</v>
      </c>
      <c r="F94" s="97" t="s">
        <v>568</v>
      </c>
    </row>
    <row r="95" spans="1:6" ht="16.5" x14ac:dyDescent="0.25">
      <c r="A95" s="2" t="s">
        <v>98</v>
      </c>
      <c r="B95" s="62">
        <v>20</v>
      </c>
      <c r="C95" s="63">
        <v>1560</v>
      </c>
      <c r="D95" s="63">
        <f>Tabla4[[#This Row],[CANTIDAD]]*Tabla4[[#This Row],[COSTO]]</f>
        <v>31200</v>
      </c>
      <c r="E95" s="88">
        <v>300</v>
      </c>
      <c r="F95" s="98" t="s">
        <v>568</v>
      </c>
    </row>
    <row r="96" spans="1:6" ht="16.5" x14ac:dyDescent="0.25">
      <c r="A96" s="2" t="s">
        <v>99</v>
      </c>
      <c r="B96" s="62">
        <v>20</v>
      </c>
      <c r="C96" s="63">
        <v>1560</v>
      </c>
      <c r="D96" s="63">
        <f>Tabla4[[#This Row],[CANTIDAD]]*Tabla4[[#This Row],[COSTO]]</f>
        <v>31200</v>
      </c>
      <c r="E96" s="88">
        <v>300</v>
      </c>
      <c r="F96" s="97" t="s">
        <v>568</v>
      </c>
    </row>
    <row r="97" spans="1:6" ht="16.5" x14ac:dyDescent="0.25">
      <c r="A97" s="2" t="s">
        <v>100</v>
      </c>
      <c r="B97" s="62">
        <v>20</v>
      </c>
      <c r="C97" s="63">
        <v>1560</v>
      </c>
      <c r="D97" s="63">
        <f>Tabla4[[#This Row],[CANTIDAD]]*Tabla4[[#This Row],[COSTO]]</f>
        <v>31200</v>
      </c>
      <c r="E97" s="88">
        <v>300</v>
      </c>
      <c r="F97" s="98" t="s">
        <v>568</v>
      </c>
    </row>
    <row r="98" spans="1:6" ht="16.5" x14ac:dyDescent="0.25">
      <c r="A98" s="2" t="s">
        <v>101</v>
      </c>
      <c r="B98" s="62">
        <v>20</v>
      </c>
      <c r="C98" s="63">
        <v>1560</v>
      </c>
      <c r="D98" s="63">
        <f>Tabla4[[#This Row],[CANTIDAD]]*Tabla4[[#This Row],[COSTO]]</f>
        <v>31200</v>
      </c>
      <c r="E98" s="88">
        <v>300</v>
      </c>
      <c r="F98" s="97" t="s">
        <v>568</v>
      </c>
    </row>
    <row r="99" spans="1:6" ht="16.5" x14ac:dyDescent="0.25">
      <c r="A99" s="2" t="s">
        <v>102</v>
      </c>
      <c r="B99" s="62">
        <v>20</v>
      </c>
      <c r="C99" s="63">
        <v>1560</v>
      </c>
      <c r="D99" s="63">
        <f>Tabla4[[#This Row],[CANTIDAD]]*Tabla4[[#This Row],[COSTO]]</f>
        <v>31200</v>
      </c>
      <c r="E99" s="88">
        <v>300</v>
      </c>
      <c r="F99" s="98" t="s">
        <v>568</v>
      </c>
    </row>
    <row r="100" spans="1:6" ht="16.5" x14ac:dyDescent="0.25">
      <c r="A100" s="2" t="s">
        <v>103</v>
      </c>
      <c r="B100" s="62">
        <v>20</v>
      </c>
      <c r="C100" s="63">
        <v>1560</v>
      </c>
      <c r="D100" s="63">
        <f>Tabla4[[#This Row],[CANTIDAD]]*Tabla4[[#This Row],[COSTO]]</f>
        <v>31200</v>
      </c>
      <c r="E100" s="88">
        <v>300</v>
      </c>
      <c r="F100" s="97" t="s">
        <v>568</v>
      </c>
    </row>
    <row r="101" spans="1:6" ht="16.5" x14ac:dyDescent="0.25">
      <c r="A101" s="2" t="s">
        <v>104</v>
      </c>
      <c r="B101" s="62">
        <v>20</v>
      </c>
      <c r="C101" s="63">
        <v>1480</v>
      </c>
      <c r="D101" s="63">
        <f>Tabla4[[#This Row],[CANTIDAD]]*Tabla4[[#This Row],[COSTO]]</f>
        <v>29600</v>
      </c>
      <c r="E101" s="88">
        <v>250</v>
      </c>
      <c r="F101" s="98" t="s">
        <v>568</v>
      </c>
    </row>
    <row r="102" spans="1:6" ht="16.5" x14ac:dyDescent="0.25">
      <c r="A102" s="2" t="s">
        <v>105</v>
      </c>
      <c r="B102" s="62">
        <v>20</v>
      </c>
      <c r="C102" s="63">
        <v>1560</v>
      </c>
      <c r="D102" s="63">
        <f>Tabla4[[#This Row],[CANTIDAD]]*Tabla4[[#This Row],[COSTO]]</f>
        <v>31200</v>
      </c>
      <c r="E102" s="88">
        <v>300</v>
      </c>
      <c r="F102" s="97" t="s">
        <v>568</v>
      </c>
    </row>
    <row r="103" spans="1:6" ht="16.5" x14ac:dyDescent="0.25">
      <c r="A103" s="2" t="s">
        <v>106</v>
      </c>
      <c r="B103" s="62">
        <v>20</v>
      </c>
      <c r="C103" s="63">
        <v>1560</v>
      </c>
      <c r="D103" s="63">
        <f>Tabla4[[#This Row],[CANTIDAD]]*Tabla4[[#This Row],[COSTO]]</f>
        <v>31200</v>
      </c>
      <c r="E103" s="88">
        <v>300</v>
      </c>
      <c r="F103" s="98" t="s">
        <v>568</v>
      </c>
    </row>
    <row r="104" spans="1:6" ht="16.5" x14ac:dyDescent="0.25">
      <c r="A104" s="2" t="s">
        <v>107</v>
      </c>
      <c r="B104" s="62">
        <v>30</v>
      </c>
      <c r="C104" s="63">
        <v>1850</v>
      </c>
      <c r="D104" s="63">
        <f>Tabla4[[#This Row],[CANTIDAD]]*Tabla4[[#This Row],[COSTO]]</f>
        <v>55500</v>
      </c>
      <c r="E104" s="88">
        <v>350</v>
      </c>
      <c r="F104" s="97" t="s">
        <v>568</v>
      </c>
    </row>
    <row r="105" spans="1:6" ht="16.5" x14ac:dyDescent="0.25">
      <c r="A105" s="2" t="s">
        <v>108</v>
      </c>
      <c r="B105" s="62">
        <v>20</v>
      </c>
      <c r="C105" s="63">
        <v>1850</v>
      </c>
      <c r="D105" s="63">
        <f>Tabla4[[#This Row],[CANTIDAD]]*Tabla4[[#This Row],[COSTO]]</f>
        <v>37000</v>
      </c>
      <c r="E105" s="88">
        <v>350</v>
      </c>
      <c r="F105" s="98" t="s">
        <v>568</v>
      </c>
    </row>
    <row r="106" spans="1:6" ht="16.5" x14ac:dyDescent="0.25">
      <c r="A106" s="2" t="s">
        <v>109</v>
      </c>
      <c r="B106" s="62">
        <v>20</v>
      </c>
      <c r="C106" s="63">
        <v>1850</v>
      </c>
      <c r="D106" s="63">
        <f>Tabla4[[#This Row],[CANTIDAD]]*Tabla4[[#This Row],[COSTO]]</f>
        <v>37000</v>
      </c>
      <c r="E106" s="88">
        <v>350</v>
      </c>
      <c r="F106" s="97" t="s">
        <v>568</v>
      </c>
    </row>
    <row r="107" spans="1:6" ht="16.5" x14ac:dyDescent="0.25">
      <c r="A107" s="2" t="s">
        <v>110</v>
      </c>
      <c r="B107" s="62">
        <v>20</v>
      </c>
      <c r="C107" s="63">
        <v>1850</v>
      </c>
      <c r="D107" s="63">
        <f>Tabla4[[#This Row],[CANTIDAD]]*Tabla4[[#This Row],[COSTO]]</f>
        <v>37000</v>
      </c>
      <c r="E107" s="88">
        <v>350</v>
      </c>
      <c r="F107" s="98" t="s">
        <v>568</v>
      </c>
    </row>
    <row r="108" spans="1:6" ht="16.5" x14ac:dyDescent="0.25">
      <c r="A108" s="2" t="s">
        <v>111</v>
      </c>
      <c r="B108" s="62">
        <v>20</v>
      </c>
      <c r="C108" s="63">
        <v>1850</v>
      </c>
      <c r="D108" s="63">
        <f>Tabla4[[#This Row],[CANTIDAD]]*Tabla4[[#This Row],[COSTO]]</f>
        <v>37000</v>
      </c>
      <c r="E108" s="88">
        <v>350</v>
      </c>
      <c r="F108" s="97" t="s">
        <v>568</v>
      </c>
    </row>
    <row r="109" spans="1:6" ht="16.5" x14ac:dyDescent="0.25">
      <c r="A109" s="2" t="s">
        <v>112</v>
      </c>
      <c r="B109" s="62">
        <v>20</v>
      </c>
      <c r="C109" s="63">
        <v>1850</v>
      </c>
      <c r="D109" s="63">
        <f>Tabla4[[#This Row],[CANTIDAD]]*Tabla4[[#This Row],[COSTO]]</f>
        <v>37000</v>
      </c>
      <c r="E109" s="88">
        <v>350</v>
      </c>
      <c r="F109" s="98" t="s">
        <v>568</v>
      </c>
    </row>
    <row r="110" spans="1:6" ht="16.5" x14ac:dyDescent="0.25">
      <c r="A110" s="2" t="s">
        <v>113</v>
      </c>
      <c r="B110" s="62">
        <v>20</v>
      </c>
      <c r="C110" s="63">
        <v>1850</v>
      </c>
      <c r="D110" s="63">
        <f>Tabla4[[#This Row],[CANTIDAD]]*Tabla4[[#This Row],[COSTO]]</f>
        <v>37000</v>
      </c>
      <c r="E110" s="88">
        <v>350</v>
      </c>
      <c r="F110" s="97" t="s">
        <v>568</v>
      </c>
    </row>
    <row r="111" spans="1:6" ht="16.5" x14ac:dyDescent="0.25">
      <c r="A111" s="2" t="s">
        <v>114</v>
      </c>
      <c r="B111" s="62">
        <v>20</v>
      </c>
      <c r="C111" s="63">
        <v>1850</v>
      </c>
      <c r="D111" s="63">
        <f>Tabla4[[#This Row],[CANTIDAD]]*Tabla4[[#This Row],[COSTO]]</f>
        <v>37000</v>
      </c>
      <c r="E111" s="88">
        <v>350</v>
      </c>
      <c r="F111" s="98" t="s">
        <v>568</v>
      </c>
    </row>
    <row r="112" spans="1:6" ht="16.5" x14ac:dyDescent="0.25">
      <c r="A112" s="2" t="s">
        <v>115</v>
      </c>
      <c r="B112" s="62">
        <v>20</v>
      </c>
      <c r="C112" s="63">
        <v>1850</v>
      </c>
      <c r="D112" s="63">
        <f>Tabla4[[#This Row],[CANTIDAD]]*Tabla4[[#This Row],[COSTO]]</f>
        <v>37000</v>
      </c>
      <c r="E112" s="88">
        <v>350</v>
      </c>
      <c r="F112" s="97" t="s">
        <v>568</v>
      </c>
    </row>
    <row r="113" spans="1:6" ht="16.5" x14ac:dyDescent="0.25">
      <c r="A113" s="2" t="s">
        <v>116</v>
      </c>
      <c r="B113" s="62">
        <v>20</v>
      </c>
      <c r="C113" s="63">
        <v>1850</v>
      </c>
      <c r="D113" s="63">
        <f>Tabla4[[#This Row],[CANTIDAD]]*Tabla4[[#This Row],[COSTO]]</f>
        <v>37000</v>
      </c>
      <c r="E113" s="88">
        <v>350</v>
      </c>
      <c r="F113" s="98" t="s">
        <v>568</v>
      </c>
    </row>
    <row r="114" spans="1:6" ht="16.5" x14ac:dyDescent="0.25">
      <c r="A114" s="2" t="s">
        <v>117</v>
      </c>
      <c r="B114" s="62">
        <v>20</v>
      </c>
      <c r="C114" s="63">
        <v>1850</v>
      </c>
      <c r="D114" s="63">
        <f>Tabla4[[#This Row],[CANTIDAD]]*Tabla4[[#This Row],[COSTO]]</f>
        <v>37000</v>
      </c>
      <c r="E114" s="88">
        <v>350</v>
      </c>
      <c r="F114" s="97" t="s">
        <v>568</v>
      </c>
    </row>
    <row r="115" spans="1:6" ht="16.5" x14ac:dyDescent="0.25">
      <c r="A115" s="2" t="s">
        <v>118</v>
      </c>
      <c r="B115" s="62">
        <v>20</v>
      </c>
      <c r="C115" s="63">
        <v>1850</v>
      </c>
      <c r="D115" s="63">
        <f>Tabla4[[#This Row],[CANTIDAD]]*Tabla4[[#This Row],[COSTO]]</f>
        <v>37000</v>
      </c>
      <c r="E115" s="88">
        <v>350</v>
      </c>
      <c r="F115" s="98" t="s">
        <v>568</v>
      </c>
    </row>
    <row r="116" spans="1:6" ht="16.5" x14ac:dyDescent="0.25">
      <c r="A116" s="2" t="s">
        <v>119</v>
      </c>
      <c r="B116" s="62">
        <v>20</v>
      </c>
      <c r="C116" s="63">
        <v>1850</v>
      </c>
      <c r="D116" s="63">
        <f>Tabla4[[#This Row],[CANTIDAD]]*Tabla4[[#This Row],[COSTO]]</f>
        <v>37000</v>
      </c>
      <c r="E116" s="88">
        <v>350</v>
      </c>
      <c r="F116" s="97" t="s">
        <v>568</v>
      </c>
    </row>
    <row r="117" spans="1:6" ht="16.5" x14ac:dyDescent="0.25">
      <c r="A117" s="2" t="s">
        <v>120</v>
      </c>
      <c r="B117" s="62">
        <v>20</v>
      </c>
      <c r="C117" s="63">
        <v>1850</v>
      </c>
      <c r="D117" s="63">
        <f>Tabla4[[#This Row],[CANTIDAD]]*Tabla4[[#This Row],[COSTO]]</f>
        <v>37000</v>
      </c>
      <c r="E117" s="88">
        <v>350</v>
      </c>
      <c r="F117" s="98" t="s">
        <v>568</v>
      </c>
    </row>
    <row r="118" spans="1:6" ht="30" x14ac:dyDescent="0.25">
      <c r="A118" s="2" t="s">
        <v>121</v>
      </c>
      <c r="B118" s="62">
        <v>20</v>
      </c>
      <c r="C118" s="63">
        <v>1740</v>
      </c>
      <c r="D118" s="63">
        <f>Tabla4[[#This Row],[CANTIDAD]]*Tabla4[[#This Row],[COSTO]]</f>
        <v>34800</v>
      </c>
      <c r="E118" s="88">
        <v>350</v>
      </c>
      <c r="F118" s="97" t="s">
        <v>568</v>
      </c>
    </row>
    <row r="119" spans="1:6" ht="16.5" x14ac:dyDescent="0.25">
      <c r="A119" s="2" t="s">
        <v>122</v>
      </c>
      <c r="B119" s="62">
        <v>20</v>
      </c>
      <c r="C119" s="63">
        <v>1850</v>
      </c>
      <c r="D119" s="63">
        <f>Tabla4[[#This Row],[CANTIDAD]]*Tabla4[[#This Row],[COSTO]]</f>
        <v>37000</v>
      </c>
      <c r="E119" s="88">
        <v>350</v>
      </c>
      <c r="F119" s="98" t="s">
        <v>568</v>
      </c>
    </row>
    <row r="120" spans="1:6" ht="30" x14ac:dyDescent="0.25">
      <c r="A120" s="2" t="s">
        <v>123</v>
      </c>
      <c r="B120" s="62">
        <v>20</v>
      </c>
      <c r="C120" s="63">
        <v>1850</v>
      </c>
      <c r="D120" s="63">
        <f>Tabla4[[#This Row],[CANTIDAD]]*Tabla4[[#This Row],[COSTO]]</f>
        <v>37000</v>
      </c>
      <c r="E120" s="88">
        <v>350</v>
      </c>
      <c r="F120" s="97" t="s">
        <v>568</v>
      </c>
    </row>
    <row r="121" spans="1:6" ht="16.5" x14ac:dyDescent="0.25">
      <c r="A121" s="2" t="s">
        <v>124</v>
      </c>
      <c r="B121" s="62">
        <v>100</v>
      </c>
      <c r="C121" s="63">
        <v>2670</v>
      </c>
      <c r="D121" s="63">
        <f>Tabla4[[#This Row],[CANTIDAD]]*Tabla4[[#This Row],[COSTO]]</f>
        <v>267000</v>
      </c>
      <c r="E121" s="88">
        <v>150</v>
      </c>
      <c r="F121" s="98" t="s">
        <v>568</v>
      </c>
    </row>
    <row r="122" spans="1:6" ht="16.5" x14ac:dyDescent="0.25">
      <c r="A122" s="2" t="s">
        <v>125</v>
      </c>
      <c r="B122" s="62">
        <v>100</v>
      </c>
      <c r="C122" s="63">
        <v>2510</v>
      </c>
      <c r="D122" s="63">
        <f>Tabla4[[#This Row],[CANTIDAD]]*Tabla4[[#This Row],[COSTO]]</f>
        <v>251000</v>
      </c>
      <c r="E122" s="88">
        <v>100</v>
      </c>
      <c r="F122" s="97" t="s">
        <v>568</v>
      </c>
    </row>
    <row r="123" spans="1:6" ht="16.5" x14ac:dyDescent="0.25">
      <c r="A123" s="2" t="s">
        <v>126</v>
      </c>
      <c r="B123" s="62">
        <v>5</v>
      </c>
      <c r="C123" s="66">
        <v>770</v>
      </c>
      <c r="D123" s="63">
        <f>Tabla4[[#This Row],[CANTIDAD]]*Tabla4[[#This Row],[COSTO]]</f>
        <v>3850</v>
      </c>
      <c r="E123" s="87">
        <v>1100</v>
      </c>
      <c r="F123" s="98" t="s">
        <v>568</v>
      </c>
    </row>
    <row r="124" spans="1:6" ht="16.5" x14ac:dyDescent="0.25">
      <c r="A124" s="2" t="s">
        <v>127</v>
      </c>
      <c r="B124" s="62">
        <v>40</v>
      </c>
      <c r="C124" s="66">
        <v>125</v>
      </c>
      <c r="D124" s="63">
        <f>Tabla4[[#This Row],[CANTIDAD]]*Tabla4[[#This Row],[COSTO]]</f>
        <v>5000</v>
      </c>
      <c r="E124" s="88">
        <v>300</v>
      </c>
      <c r="F124" s="97" t="s">
        <v>568</v>
      </c>
    </row>
    <row r="125" spans="1:6" ht="16.5" x14ac:dyDescent="0.25">
      <c r="A125" s="2" t="s">
        <v>128</v>
      </c>
      <c r="B125" s="62">
        <v>36</v>
      </c>
      <c r="C125" s="63">
        <v>4730</v>
      </c>
      <c r="D125" s="63">
        <f>Tabla4[[#This Row],[CANTIDAD]]*Tabla4[[#This Row],[COSTO]]</f>
        <v>170280</v>
      </c>
      <c r="E125" s="88">
        <v>200</v>
      </c>
      <c r="F125" s="98" t="s">
        <v>568</v>
      </c>
    </row>
    <row r="126" spans="1:6" ht="16.5" x14ac:dyDescent="0.25">
      <c r="A126" s="2" t="s">
        <v>129</v>
      </c>
      <c r="B126" s="62">
        <v>10</v>
      </c>
      <c r="C126" s="66">
        <v>800</v>
      </c>
      <c r="D126" s="63">
        <f>Tabla4[[#This Row],[CANTIDAD]]*Tabla4[[#This Row],[COSTO]]</f>
        <v>8000</v>
      </c>
      <c r="E126" s="87">
        <v>1350</v>
      </c>
      <c r="F126" s="97" t="s">
        <v>568</v>
      </c>
    </row>
    <row r="127" spans="1:6" ht="16.5" x14ac:dyDescent="0.25">
      <c r="A127" s="2" t="s">
        <v>130</v>
      </c>
      <c r="B127" s="62">
        <v>10</v>
      </c>
      <c r="C127" s="66">
        <v>190</v>
      </c>
      <c r="D127" s="63">
        <f>Tabla4[[#This Row],[CANTIDAD]]*Tabla4[[#This Row],[COSTO]]</f>
        <v>1900</v>
      </c>
      <c r="E127" s="88">
        <v>300</v>
      </c>
      <c r="F127" s="98" t="s">
        <v>568</v>
      </c>
    </row>
    <row r="128" spans="1:6" ht="16.5" x14ac:dyDescent="0.25">
      <c r="A128" s="2" t="s">
        <v>131</v>
      </c>
      <c r="B128" s="62">
        <v>10</v>
      </c>
      <c r="C128" s="66">
        <v>800</v>
      </c>
      <c r="D128" s="63">
        <f>Tabla4[[#This Row],[CANTIDAD]]*Tabla4[[#This Row],[COSTO]]</f>
        <v>8000</v>
      </c>
      <c r="E128" s="87">
        <v>1200</v>
      </c>
      <c r="F128" s="97" t="s">
        <v>568</v>
      </c>
    </row>
    <row r="129" spans="1:6" ht="16.5" x14ac:dyDescent="0.25">
      <c r="A129" s="2" t="s">
        <v>132</v>
      </c>
      <c r="B129" s="62">
        <v>5</v>
      </c>
      <c r="C129" s="66">
        <v>846</v>
      </c>
      <c r="D129" s="63">
        <f>Tabla4[[#This Row],[CANTIDAD]]*Tabla4[[#This Row],[COSTO]]</f>
        <v>4230</v>
      </c>
      <c r="E129" s="87">
        <v>1300</v>
      </c>
      <c r="F129" s="98" t="s">
        <v>568</v>
      </c>
    </row>
    <row r="130" spans="1:6" ht="16.5" x14ac:dyDescent="0.25">
      <c r="A130" s="2" t="s">
        <v>133</v>
      </c>
      <c r="B130" s="62">
        <v>500</v>
      </c>
      <c r="C130" s="66">
        <v>7</v>
      </c>
      <c r="D130" s="63">
        <f>Tabla4[[#This Row],[CANTIDAD]]*Tabla4[[#This Row],[COSTO]]</f>
        <v>3500</v>
      </c>
      <c r="E130" s="88">
        <v>30</v>
      </c>
      <c r="F130" s="97" t="s">
        <v>568</v>
      </c>
    </row>
    <row r="131" spans="1:6" ht="16.5" x14ac:dyDescent="0.25">
      <c r="A131" s="2" t="s">
        <v>134</v>
      </c>
      <c r="B131" s="62">
        <v>10</v>
      </c>
      <c r="C131" s="66">
        <v>830</v>
      </c>
      <c r="D131" s="63">
        <f>Tabla4[[#This Row],[CANTIDAD]]*Tabla4[[#This Row],[COSTO]]</f>
        <v>8300</v>
      </c>
      <c r="E131" s="87">
        <v>1200</v>
      </c>
      <c r="F131" s="98" t="s">
        <v>568</v>
      </c>
    </row>
    <row r="132" spans="1:6" ht="30" x14ac:dyDescent="0.25">
      <c r="A132" s="2" t="s">
        <v>135</v>
      </c>
      <c r="B132" s="62">
        <v>100</v>
      </c>
      <c r="C132" s="63">
        <v>6830</v>
      </c>
      <c r="D132" s="63">
        <f>Tabla4[[#This Row],[CANTIDAD]]*Tabla4[[#This Row],[COSTO]]</f>
        <v>683000</v>
      </c>
      <c r="E132" s="88">
        <v>250</v>
      </c>
      <c r="F132" s="97" t="s">
        <v>569</v>
      </c>
    </row>
    <row r="133" spans="1:6" ht="30" x14ac:dyDescent="0.25">
      <c r="A133" s="2" t="s">
        <v>136</v>
      </c>
      <c r="B133" s="62">
        <v>5</v>
      </c>
      <c r="C133" s="66">
        <v>870</v>
      </c>
      <c r="D133" s="63">
        <f>Tabla4[[#This Row],[CANTIDAD]]*Tabla4[[#This Row],[COSTO]]</f>
        <v>4350</v>
      </c>
      <c r="E133" s="87">
        <v>1300</v>
      </c>
      <c r="F133" s="98" t="s">
        <v>568</v>
      </c>
    </row>
    <row r="134" spans="1:6" ht="30" x14ac:dyDescent="0.25">
      <c r="A134" s="2" t="s">
        <v>137</v>
      </c>
      <c r="B134" s="62">
        <v>5</v>
      </c>
      <c r="C134" s="66">
        <v>780</v>
      </c>
      <c r="D134" s="63">
        <f>Tabla4[[#This Row],[CANTIDAD]]*Tabla4[[#This Row],[COSTO]]</f>
        <v>3900</v>
      </c>
      <c r="E134" s="87">
        <v>1100</v>
      </c>
      <c r="F134" s="97" t="s">
        <v>568</v>
      </c>
    </row>
    <row r="135" spans="1:6" ht="16.5" x14ac:dyDescent="0.25">
      <c r="A135" s="2" t="s">
        <v>138</v>
      </c>
      <c r="B135" s="62">
        <v>5</v>
      </c>
      <c r="C135" s="66">
        <v>890</v>
      </c>
      <c r="D135" s="63">
        <f>Tabla4[[#This Row],[CANTIDAD]]*Tabla4[[#This Row],[COSTO]]</f>
        <v>4450</v>
      </c>
      <c r="E135" s="87">
        <v>1250</v>
      </c>
      <c r="F135" s="98" t="s">
        <v>568</v>
      </c>
    </row>
    <row r="136" spans="1:6" ht="16.5" x14ac:dyDescent="0.25">
      <c r="A136" s="2" t="s">
        <v>139</v>
      </c>
      <c r="B136" s="62">
        <v>12</v>
      </c>
      <c r="C136" s="63">
        <v>1700</v>
      </c>
      <c r="D136" s="63">
        <f>Tabla4[[#This Row],[CANTIDAD]]*Tabla4[[#This Row],[COSTO]]</f>
        <v>20400</v>
      </c>
      <c r="E136" s="88">
        <v>200</v>
      </c>
      <c r="F136" s="97" t="s">
        <v>568</v>
      </c>
    </row>
    <row r="137" spans="1:6" ht="16.5" x14ac:dyDescent="0.25">
      <c r="A137" s="2" t="s">
        <v>140</v>
      </c>
      <c r="B137" s="62">
        <v>12</v>
      </c>
      <c r="C137" s="63">
        <v>3650</v>
      </c>
      <c r="D137" s="63">
        <f>Tabla4[[#This Row],[CANTIDAD]]*Tabla4[[#This Row],[COSTO]]</f>
        <v>43800</v>
      </c>
      <c r="E137" s="88">
        <v>450</v>
      </c>
      <c r="F137" s="98" t="s">
        <v>568</v>
      </c>
    </row>
    <row r="138" spans="1:6" ht="16.5" x14ac:dyDescent="0.25">
      <c r="A138" s="2" t="s">
        <v>141</v>
      </c>
      <c r="B138" s="62">
        <v>15</v>
      </c>
      <c r="C138" s="66">
        <v>860</v>
      </c>
      <c r="D138" s="63">
        <f>Tabla4[[#This Row],[CANTIDAD]]*Tabla4[[#This Row],[COSTO]]</f>
        <v>12900</v>
      </c>
      <c r="E138" s="87">
        <v>1200</v>
      </c>
      <c r="F138" s="97" t="s">
        <v>568</v>
      </c>
    </row>
    <row r="139" spans="1:6" ht="16.5" x14ac:dyDescent="0.25">
      <c r="A139" s="2" t="s">
        <v>142</v>
      </c>
      <c r="B139" s="62">
        <v>10</v>
      </c>
      <c r="C139" s="66">
        <v>420</v>
      </c>
      <c r="D139" s="63">
        <f>Tabla4[[#This Row],[CANTIDAD]]*Tabla4[[#This Row],[COSTO]]</f>
        <v>4200</v>
      </c>
      <c r="E139" s="88">
        <v>600</v>
      </c>
      <c r="F139" s="98" t="s">
        <v>568</v>
      </c>
    </row>
    <row r="140" spans="1:6" ht="16.5" x14ac:dyDescent="0.25">
      <c r="A140" s="2" t="s">
        <v>143</v>
      </c>
      <c r="B140" s="62">
        <v>5</v>
      </c>
      <c r="C140" s="66">
        <v>840</v>
      </c>
      <c r="D140" s="63">
        <f>Tabla4[[#This Row],[CANTIDAD]]*Tabla4[[#This Row],[COSTO]]</f>
        <v>4200</v>
      </c>
      <c r="E140" s="87">
        <v>1200</v>
      </c>
      <c r="F140" s="97" t="s">
        <v>568</v>
      </c>
    </row>
    <row r="141" spans="1:6" ht="16.5" x14ac:dyDescent="0.25">
      <c r="A141" s="2" t="s">
        <v>144</v>
      </c>
      <c r="B141" s="62">
        <v>5</v>
      </c>
      <c r="C141" s="63">
        <v>1500</v>
      </c>
      <c r="D141" s="63">
        <f>Tabla4[[#This Row],[CANTIDAD]]*Tabla4[[#This Row],[COSTO]]</f>
        <v>7500</v>
      </c>
      <c r="E141" s="87">
        <v>2100</v>
      </c>
      <c r="F141" s="98" t="s">
        <v>568</v>
      </c>
    </row>
    <row r="142" spans="1:6" ht="16.5" x14ac:dyDescent="0.25">
      <c r="A142" s="2" t="s">
        <v>145</v>
      </c>
      <c r="B142" s="62">
        <v>15</v>
      </c>
      <c r="C142" s="63">
        <v>1000</v>
      </c>
      <c r="D142" s="63">
        <f>Tabla4[[#This Row],[CANTIDAD]]*Tabla4[[#This Row],[COSTO]]</f>
        <v>15000</v>
      </c>
      <c r="E142" s="87">
        <v>1500</v>
      </c>
      <c r="F142" s="97" t="s">
        <v>568</v>
      </c>
    </row>
    <row r="143" spans="1:6" ht="16.5" x14ac:dyDescent="0.25">
      <c r="A143" s="2" t="s">
        <v>146</v>
      </c>
      <c r="B143" s="62">
        <v>7</v>
      </c>
      <c r="C143" s="66">
        <v>780</v>
      </c>
      <c r="D143" s="63">
        <f>Tabla4[[#This Row],[CANTIDAD]]*Tabla4[[#This Row],[COSTO]]</f>
        <v>5460</v>
      </c>
      <c r="E143" s="87">
        <v>1300</v>
      </c>
      <c r="F143" s="98" t="s">
        <v>568</v>
      </c>
    </row>
    <row r="144" spans="1:6" ht="16.5" x14ac:dyDescent="0.25">
      <c r="A144" s="2" t="s">
        <v>147</v>
      </c>
      <c r="B144" s="62">
        <v>12</v>
      </c>
      <c r="C144" s="63">
        <v>3940</v>
      </c>
      <c r="D144" s="63">
        <f>Tabla4[[#This Row],[CANTIDAD]]*Tabla4[[#This Row],[COSTO]]</f>
        <v>47280</v>
      </c>
      <c r="E144" s="88">
        <v>600</v>
      </c>
      <c r="F144" s="97" t="s">
        <v>568</v>
      </c>
    </row>
    <row r="145" spans="1:6" ht="16.5" x14ac:dyDescent="0.25">
      <c r="A145" s="2" t="s">
        <v>148</v>
      </c>
      <c r="B145" s="62">
        <v>3</v>
      </c>
      <c r="C145" s="66">
        <v>950</v>
      </c>
      <c r="D145" s="63">
        <f>Tabla4[[#This Row],[CANTIDAD]]*Tabla4[[#This Row],[COSTO]]</f>
        <v>2850</v>
      </c>
      <c r="E145" s="87">
        <v>1400</v>
      </c>
      <c r="F145" s="98" t="s">
        <v>568</v>
      </c>
    </row>
    <row r="146" spans="1:6" ht="30" x14ac:dyDescent="0.25">
      <c r="A146" s="2" t="s">
        <v>149</v>
      </c>
      <c r="B146" s="62">
        <v>24</v>
      </c>
      <c r="C146" s="63">
        <v>1570</v>
      </c>
      <c r="D146" s="63">
        <f>Tabla4[[#This Row],[CANTIDAD]]*Tabla4[[#This Row],[COSTO]]</f>
        <v>37680</v>
      </c>
      <c r="E146" s="88">
        <v>200</v>
      </c>
      <c r="F146" s="97" t="s">
        <v>568</v>
      </c>
    </row>
    <row r="147" spans="1:6" ht="16.5" x14ac:dyDescent="0.25">
      <c r="A147" s="2" t="s">
        <v>150</v>
      </c>
      <c r="B147" s="62">
        <v>10</v>
      </c>
      <c r="C147" s="66">
        <v>150</v>
      </c>
      <c r="D147" s="63">
        <f>Tabla4[[#This Row],[CANTIDAD]]*Tabla4[[#This Row],[COSTO]]</f>
        <v>1500</v>
      </c>
      <c r="E147" s="88">
        <v>250</v>
      </c>
      <c r="F147" s="98" t="s">
        <v>568</v>
      </c>
    </row>
    <row r="148" spans="1:6" ht="30" x14ac:dyDescent="0.25">
      <c r="A148" s="2" t="s">
        <v>151</v>
      </c>
      <c r="B148" s="62">
        <v>36</v>
      </c>
      <c r="C148" s="66">
        <v>790</v>
      </c>
      <c r="D148" s="63">
        <f>Tabla4[[#This Row],[CANTIDAD]]*Tabla4[[#This Row],[COSTO]]</f>
        <v>28440</v>
      </c>
      <c r="E148" s="88">
        <v>150</v>
      </c>
      <c r="F148" s="97" t="s">
        <v>568</v>
      </c>
    </row>
    <row r="149" spans="1:6" ht="16.5" x14ac:dyDescent="0.25">
      <c r="A149" s="2" t="s">
        <v>152</v>
      </c>
      <c r="B149" s="62">
        <v>2</v>
      </c>
      <c r="C149" s="63">
        <v>2500</v>
      </c>
      <c r="D149" s="63">
        <f>Tabla4[[#This Row],[CANTIDAD]]*Tabla4[[#This Row],[COSTO]]</f>
        <v>5000</v>
      </c>
      <c r="E149" s="87">
        <v>3700</v>
      </c>
      <c r="F149" s="98" t="s">
        <v>568</v>
      </c>
    </row>
    <row r="150" spans="1:6" ht="16.5" x14ac:dyDescent="0.25">
      <c r="A150" s="2" t="s">
        <v>153</v>
      </c>
      <c r="B150" s="62">
        <v>50</v>
      </c>
      <c r="C150" s="63">
        <v>5030</v>
      </c>
      <c r="D150" s="63">
        <f>Tabla4[[#This Row],[CANTIDAD]]*Tabla4[[#This Row],[COSTO]]</f>
        <v>251500</v>
      </c>
      <c r="E150" s="88">
        <v>200</v>
      </c>
      <c r="F150" s="97" t="s">
        <v>568</v>
      </c>
    </row>
    <row r="151" spans="1:6" ht="30" x14ac:dyDescent="0.25">
      <c r="A151" s="2" t="s">
        <v>154</v>
      </c>
      <c r="B151" s="62">
        <v>50</v>
      </c>
      <c r="C151" s="63">
        <v>9480</v>
      </c>
      <c r="D151" s="63">
        <f>Tabla4[[#This Row],[CANTIDAD]]*Tabla4[[#This Row],[COSTO]]</f>
        <v>474000</v>
      </c>
      <c r="E151" s="88">
        <v>300</v>
      </c>
      <c r="F151" s="98" t="s">
        <v>568</v>
      </c>
    </row>
    <row r="152" spans="1:6" ht="30" x14ac:dyDescent="0.25">
      <c r="A152" s="2" t="s">
        <v>155</v>
      </c>
      <c r="B152" s="62">
        <v>50</v>
      </c>
      <c r="C152" s="63">
        <v>9480</v>
      </c>
      <c r="D152" s="63">
        <f>Tabla4[[#This Row],[CANTIDAD]]*Tabla4[[#This Row],[COSTO]]</f>
        <v>474000</v>
      </c>
      <c r="E152" s="88">
        <v>300</v>
      </c>
      <c r="F152" s="97" t="s">
        <v>568</v>
      </c>
    </row>
    <row r="153" spans="1:6" ht="30" x14ac:dyDescent="0.25">
      <c r="A153" s="2" t="s">
        <v>156</v>
      </c>
      <c r="B153" s="62">
        <v>50</v>
      </c>
      <c r="C153" s="63">
        <v>9480</v>
      </c>
      <c r="D153" s="63">
        <f>Tabla4[[#This Row],[CANTIDAD]]*Tabla4[[#This Row],[COSTO]]</f>
        <v>474000</v>
      </c>
      <c r="E153" s="88">
        <v>300</v>
      </c>
      <c r="F153" s="98" t="s">
        <v>568</v>
      </c>
    </row>
    <row r="154" spans="1:6" ht="16.5" x14ac:dyDescent="0.25">
      <c r="A154" s="2" t="s">
        <v>157</v>
      </c>
      <c r="B154" s="62">
        <v>50</v>
      </c>
      <c r="C154" s="63">
        <v>5030</v>
      </c>
      <c r="D154" s="63">
        <f>Tabla4[[#This Row],[CANTIDAD]]*Tabla4[[#This Row],[COSTO]]</f>
        <v>251500</v>
      </c>
      <c r="E154" s="88">
        <v>200</v>
      </c>
      <c r="F154" s="97" t="s">
        <v>568</v>
      </c>
    </row>
    <row r="155" spans="1:6" ht="16.5" x14ac:dyDescent="0.25">
      <c r="A155" s="2" t="s">
        <v>158</v>
      </c>
      <c r="B155" s="62">
        <v>50</v>
      </c>
      <c r="C155" s="63">
        <v>5030</v>
      </c>
      <c r="D155" s="63">
        <f>Tabla4[[#This Row],[CANTIDAD]]*Tabla4[[#This Row],[COSTO]]</f>
        <v>251500</v>
      </c>
      <c r="E155" s="88">
        <v>200</v>
      </c>
      <c r="F155" s="98" t="s">
        <v>568</v>
      </c>
    </row>
    <row r="156" spans="1:6" ht="16.5" x14ac:dyDescent="0.25">
      <c r="A156" s="2" t="s">
        <v>159</v>
      </c>
      <c r="B156" s="62">
        <v>15</v>
      </c>
      <c r="C156" s="63">
        <v>1000</v>
      </c>
      <c r="D156" s="63">
        <f>Tabla4[[#This Row],[CANTIDAD]]*Tabla4[[#This Row],[COSTO]]</f>
        <v>15000</v>
      </c>
      <c r="E156" s="87">
        <v>1400</v>
      </c>
      <c r="F156" s="97" t="s">
        <v>568</v>
      </c>
    </row>
    <row r="157" spans="1:6" ht="30" x14ac:dyDescent="0.25">
      <c r="A157" s="2" t="s">
        <v>160</v>
      </c>
      <c r="B157" s="62">
        <v>12</v>
      </c>
      <c r="C157" s="63">
        <v>7140</v>
      </c>
      <c r="D157" s="63">
        <f>Tabla4[[#This Row],[CANTIDAD]]*Tabla4[[#This Row],[COSTO]]</f>
        <v>85680</v>
      </c>
      <c r="E157" s="88">
        <v>900</v>
      </c>
      <c r="F157" s="98" t="s">
        <v>568</v>
      </c>
    </row>
    <row r="158" spans="1:6" ht="30" x14ac:dyDescent="0.25">
      <c r="A158" s="2" t="s">
        <v>161</v>
      </c>
      <c r="B158" s="62">
        <v>12</v>
      </c>
      <c r="C158" s="63">
        <v>6960</v>
      </c>
      <c r="D158" s="63">
        <f>Tabla4[[#This Row],[CANTIDAD]]*Tabla4[[#This Row],[COSTO]]</f>
        <v>83520</v>
      </c>
      <c r="E158" s="88">
        <v>900</v>
      </c>
      <c r="F158" s="97" t="s">
        <v>568</v>
      </c>
    </row>
    <row r="159" spans="1:6" ht="30" x14ac:dyDescent="0.25">
      <c r="A159" s="2" t="s">
        <v>162</v>
      </c>
      <c r="B159" s="62">
        <v>12</v>
      </c>
      <c r="C159" s="63">
        <v>6960</v>
      </c>
      <c r="D159" s="63">
        <f>Tabla4[[#This Row],[CANTIDAD]]*Tabla4[[#This Row],[COSTO]]</f>
        <v>83520</v>
      </c>
      <c r="E159" s="88">
        <v>900</v>
      </c>
      <c r="F159" s="98" t="s">
        <v>568</v>
      </c>
    </row>
    <row r="160" spans="1:6" ht="16.5" x14ac:dyDescent="0.25">
      <c r="A160" s="2" t="s">
        <v>163</v>
      </c>
      <c r="B160" s="62">
        <v>4</v>
      </c>
      <c r="C160" s="66">
        <v>970</v>
      </c>
      <c r="D160" s="63">
        <f>Tabla4[[#This Row],[CANTIDAD]]*Tabla4[[#This Row],[COSTO]]</f>
        <v>3880</v>
      </c>
      <c r="E160" s="87">
        <v>1400</v>
      </c>
      <c r="F160" s="97" t="s">
        <v>568</v>
      </c>
    </row>
    <row r="161" spans="1:6" ht="30" x14ac:dyDescent="0.25">
      <c r="A161" s="2" t="s">
        <v>164</v>
      </c>
      <c r="B161" s="62">
        <v>30</v>
      </c>
      <c r="C161" s="66">
        <v>930</v>
      </c>
      <c r="D161" s="66">
        <f>Tabla4[[#This Row],[CANTIDAD]]*Tabla4[[#This Row],[COSTO]]</f>
        <v>27900</v>
      </c>
      <c r="E161" s="88">
        <v>50</v>
      </c>
      <c r="F161" s="98" t="s">
        <v>568</v>
      </c>
    </row>
    <row r="162" spans="1:6" ht="30" x14ac:dyDescent="0.25">
      <c r="A162" s="2" t="s">
        <v>165</v>
      </c>
      <c r="B162" s="62">
        <v>90</v>
      </c>
      <c r="C162" s="66">
        <v>870</v>
      </c>
      <c r="D162" s="63">
        <f>Tabla4[[#This Row],[CANTIDAD]]*Tabla4[[#This Row],[COSTO]]</f>
        <v>78300</v>
      </c>
      <c r="E162" s="88">
        <v>50</v>
      </c>
      <c r="F162" s="97" t="s">
        <v>568</v>
      </c>
    </row>
    <row r="163" spans="1:6" ht="16.5" x14ac:dyDescent="0.25">
      <c r="A163" s="2" t="s">
        <v>166</v>
      </c>
      <c r="B163" s="62">
        <v>5</v>
      </c>
      <c r="C163" s="66">
        <v>660</v>
      </c>
      <c r="D163" s="63">
        <f>Tabla4[[#This Row],[CANTIDAD]]*Tabla4[[#This Row],[COSTO]]</f>
        <v>3300</v>
      </c>
      <c r="E163" s="87">
        <v>1500</v>
      </c>
      <c r="F163" s="98" t="s">
        <v>568</v>
      </c>
    </row>
    <row r="164" spans="1:6" ht="30" x14ac:dyDescent="0.25">
      <c r="A164" s="2" t="s">
        <v>167</v>
      </c>
      <c r="B164" s="62">
        <v>12</v>
      </c>
      <c r="C164" s="63">
        <v>3940</v>
      </c>
      <c r="D164" s="63">
        <f>Tabla4[[#This Row],[CANTIDAD]]*Tabla4[[#This Row],[COSTO]]</f>
        <v>47280</v>
      </c>
      <c r="E164" s="88">
        <v>500</v>
      </c>
      <c r="F164" s="97" t="s">
        <v>568</v>
      </c>
    </row>
    <row r="165" spans="1:6" ht="30" x14ac:dyDescent="0.25">
      <c r="A165" s="2" t="s">
        <v>168</v>
      </c>
      <c r="B165" s="62">
        <v>12</v>
      </c>
      <c r="C165" s="63">
        <v>3000</v>
      </c>
      <c r="D165" s="63">
        <f>Tabla4[[#This Row],[CANTIDAD]]*Tabla4[[#This Row],[COSTO]]</f>
        <v>36000</v>
      </c>
      <c r="E165" s="88">
        <v>400</v>
      </c>
      <c r="F165" s="98" t="s">
        <v>568</v>
      </c>
    </row>
    <row r="166" spans="1:6" ht="30" x14ac:dyDescent="0.25">
      <c r="A166" s="2" t="s">
        <v>169</v>
      </c>
      <c r="B166" s="62">
        <v>12</v>
      </c>
      <c r="C166" s="63">
        <v>3000</v>
      </c>
      <c r="D166" s="63">
        <f>Tabla4[[#This Row],[CANTIDAD]]*Tabla4[[#This Row],[COSTO]]</f>
        <v>36000</v>
      </c>
      <c r="E166" s="88">
        <v>400</v>
      </c>
      <c r="F166" s="97" t="s">
        <v>568</v>
      </c>
    </row>
    <row r="167" spans="1:6" ht="30" x14ac:dyDescent="0.25">
      <c r="A167" s="2" t="s">
        <v>170</v>
      </c>
      <c r="B167" s="62">
        <v>12</v>
      </c>
      <c r="C167" s="63">
        <v>3000</v>
      </c>
      <c r="D167" s="63">
        <f>Tabla4[[#This Row],[CANTIDAD]]*Tabla4[[#This Row],[COSTO]]</f>
        <v>36000</v>
      </c>
      <c r="E167" s="88">
        <v>400</v>
      </c>
      <c r="F167" s="98" t="s">
        <v>568</v>
      </c>
    </row>
    <row r="168" spans="1:6" ht="30" x14ac:dyDescent="0.25">
      <c r="A168" s="2" t="s">
        <v>171</v>
      </c>
      <c r="B168" s="62">
        <v>12</v>
      </c>
      <c r="C168" s="63">
        <v>2630</v>
      </c>
      <c r="D168" s="63">
        <f>Tabla4[[#This Row],[CANTIDAD]]*Tabla4[[#This Row],[COSTO]]</f>
        <v>31560</v>
      </c>
      <c r="E168" s="88">
        <v>350</v>
      </c>
      <c r="F168" s="97" t="s">
        <v>568</v>
      </c>
    </row>
    <row r="169" spans="1:6" ht="30" x14ac:dyDescent="0.25">
      <c r="A169" s="2" t="s">
        <v>172</v>
      </c>
      <c r="B169" s="62">
        <v>12</v>
      </c>
      <c r="C169" s="63">
        <v>2630</v>
      </c>
      <c r="D169" s="63">
        <f>Tabla4[[#This Row],[CANTIDAD]]*Tabla4[[#This Row],[COSTO]]</f>
        <v>31560</v>
      </c>
      <c r="E169" s="88">
        <v>350</v>
      </c>
      <c r="F169" s="98" t="s">
        <v>568</v>
      </c>
    </row>
    <row r="170" spans="1:6" ht="30" x14ac:dyDescent="0.25">
      <c r="A170" s="2" t="s">
        <v>173</v>
      </c>
      <c r="B170" s="62">
        <v>12</v>
      </c>
      <c r="C170" s="63">
        <v>2630</v>
      </c>
      <c r="D170" s="63">
        <f>Tabla4[[#This Row],[CANTIDAD]]*Tabla4[[#This Row],[COSTO]]</f>
        <v>31560</v>
      </c>
      <c r="E170" s="88">
        <v>350</v>
      </c>
      <c r="F170" s="97" t="s">
        <v>568</v>
      </c>
    </row>
    <row r="171" spans="1:6" ht="16.5" x14ac:dyDescent="0.25">
      <c r="A171" s="2" t="s">
        <v>174</v>
      </c>
      <c r="B171" s="62">
        <v>12</v>
      </c>
      <c r="C171" s="66">
        <v>113</v>
      </c>
      <c r="D171" s="63">
        <f>Tabla4[[#This Row],[CANTIDAD]]*Tabla4[[#This Row],[COSTO]]</f>
        <v>1356</v>
      </c>
      <c r="E171" s="88">
        <v>200</v>
      </c>
      <c r="F171" s="98" t="s">
        <v>568</v>
      </c>
    </row>
    <row r="172" spans="1:6" ht="16.5" x14ac:dyDescent="0.25">
      <c r="A172" s="2" t="s">
        <v>175</v>
      </c>
      <c r="B172" s="62">
        <v>23</v>
      </c>
      <c r="C172" s="66">
        <v>170</v>
      </c>
      <c r="D172" s="63">
        <f>Tabla4[[#This Row],[CANTIDAD]]*Tabla4[[#This Row],[COSTO]]</f>
        <v>3910</v>
      </c>
      <c r="E172" s="88">
        <v>300</v>
      </c>
      <c r="F172" s="97" t="s">
        <v>568</v>
      </c>
    </row>
    <row r="173" spans="1:6" ht="16.5" x14ac:dyDescent="0.25">
      <c r="A173" s="2" t="s">
        <v>176</v>
      </c>
      <c r="B173" s="62">
        <v>24</v>
      </c>
      <c r="C173" s="63">
        <v>3570</v>
      </c>
      <c r="D173" s="63">
        <f>Tabla4[[#This Row],[CANTIDAD]]*Tabla4[[#This Row],[COSTO]]</f>
        <v>85680</v>
      </c>
      <c r="E173" s="88">
        <v>300</v>
      </c>
      <c r="F173" s="98" t="s">
        <v>568</v>
      </c>
    </row>
    <row r="174" spans="1:6" ht="16.5" x14ac:dyDescent="0.25">
      <c r="A174" s="2" t="s">
        <v>177</v>
      </c>
      <c r="B174" s="62">
        <v>24</v>
      </c>
      <c r="C174" s="63">
        <v>5320</v>
      </c>
      <c r="D174" s="63">
        <f>Tabla4[[#This Row],[CANTIDAD]]*Tabla4[[#This Row],[COSTO]]</f>
        <v>127680</v>
      </c>
      <c r="E174" s="88">
        <v>400</v>
      </c>
      <c r="F174" s="97" t="s">
        <v>568</v>
      </c>
    </row>
    <row r="175" spans="1:6" ht="30" x14ac:dyDescent="0.25">
      <c r="A175" s="2" t="s">
        <v>178</v>
      </c>
      <c r="B175" s="62">
        <v>3</v>
      </c>
      <c r="C175" s="66">
        <v>860</v>
      </c>
      <c r="D175" s="63">
        <f>Tabla4[[#This Row],[CANTIDAD]]*Tabla4[[#This Row],[COSTO]]</f>
        <v>2580</v>
      </c>
      <c r="E175" s="87">
        <v>1600</v>
      </c>
      <c r="F175" s="98" t="s">
        <v>568</v>
      </c>
    </row>
    <row r="176" spans="1:6" ht="30" x14ac:dyDescent="0.25">
      <c r="A176" s="2" t="s">
        <v>179</v>
      </c>
      <c r="B176" s="62">
        <v>3</v>
      </c>
      <c r="C176" s="66">
        <v>860</v>
      </c>
      <c r="D176" s="63">
        <f>Tabla4[[#This Row],[CANTIDAD]]*Tabla4[[#This Row],[COSTO]]</f>
        <v>2580</v>
      </c>
      <c r="E176" s="87">
        <v>1600</v>
      </c>
      <c r="F176" s="97" t="s">
        <v>568</v>
      </c>
    </row>
    <row r="177" spans="1:6" ht="30" x14ac:dyDescent="0.25">
      <c r="A177" s="2" t="s">
        <v>180</v>
      </c>
      <c r="B177" s="62">
        <v>3</v>
      </c>
      <c r="C177" s="66">
        <v>860</v>
      </c>
      <c r="D177" s="63">
        <f>Tabla4[[#This Row],[CANTIDAD]]*Tabla4[[#This Row],[COSTO]]</f>
        <v>2580</v>
      </c>
      <c r="E177" s="87">
        <v>1600</v>
      </c>
      <c r="F177" s="98" t="s">
        <v>568</v>
      </c>
    </row>
    <row r="178" spans="1:6" ht="30" x14ac:dyDescent="0.25">
      <c r="A178" s="2" t="s">
        <v>181</v>
      </c>
      <c r="B178" s="62">
        <v>3</v>
      </c>
      <c r="C178" s="66">
        <v>860</v>
      </c>
      <c r="D178" s="63">
        <f>Tabla4[[#This Row],[CANTIDAD]]*Tabla4[[#This Row],[COSTO]]</f>
        <v>2580</v>
      </c>
      <c r="E178" s="87">
        <v>1600</v>
      </c>
      <c r="F178" s="97" t="s">
        <v>568</v>
      </c>
    </row>
    <row r="179" spans="1:6" ht="30" x14ac:dyDescent="0.25">
      <c r="A179" s="2" t="s">
        <v>182</v>
      </c>
      <c r="B179" s="62">
        <v>3</v>
      </c>
      <c r="C179" s="66">
        <v>860</v>
      </c>
      <c r="D179" s="63">
        <f>Tabla4[[#This Row],[CANTIDAD]]*Tabla4[[#This Row],[COSTO]]</f>
        <v>2580</v>
      </c>
      <c r="E179" s="87">
        <v>1600</v>
      </c>
      <c r="F179" s="98" t="s">
        <v>568</v>
      </c>
    </row>
    <row r="180" spans="1:6" ht="30" x14ac:dyDescent="0.25">
      <c r="A180" s="2" t="s">
        <v>183</v>
      </c>
      <c r="B180" s="62">
        <v>3</v>
      </c>
      <c r="C180" s="66">
        <v>860</v>
      </c>
      <c r="D180" s="63">
        <f>Tabla4[[#This Row],[CANTIDAD]]*Tabla4[[#This Row],[COSTO]]</f>
        <v>2580</v>
      </c>
      <c r="E180" s="87">
        <v>1600</v>
      </c>
      <c r="F180" s="97" t="s">
        <v>568</v>
      </c>
    </row>
    <row r="181" spans="1:6" ht="30" x14ac:dyDescent="0.25">
      <c r="A181" s="2" t="s">
        <v>184</v>
      </c>
      <c r="B181" s="62">
        <v>3</v>
      </c>
      <c r="C181" s="66">
        <v>860</v>
      </c>
      <c r="D181" s="63">
        <f>Tabla4[[#This Row],[CANTIDAD]]*Tabla4[[#This Row],[COSTO]]</f>
        <v>2580</v>
      </c>
      <c r="E181" s="87">
        <v>1600</v>
      </c>
      <c r="F181" s="98" t="s">
        <v>568</v>
      </c>
    </row>
    <row r="182" spans="1:6" ht="30" x14ac:dyDescent="0.25">
      <c r="A182" s="2" t="s">
        <v>185</v>
      </c>
      <c r="B182" s="62">
        <v>4</v>
      </c>
      <c r="C182" s="66">
        <v>970</v>
      </c>
      <c r="D182" s="63">
        <f>Tabla4[[#This Row],[CANTIDAD]]*Tabla4[[#This Row],[COSTO]]</f>
        <v>3880</v>
      </c>
      <c r="E182" s="87">
        <v>1400</v>
      </c>
      <c r="F182" s="97" t="s">
        <v>568</v>
      </c>
    </row>
    <row r="183" spans="1:6" ht="30" x14ac:dyDescent="0.25">
      <c r="A183" s="2" t="s">
        <v>186</v>
      </c>
      <c r="B183" s="62">
        <v>3</v>
      </c>
      <c r="C183" s="66">
        <v>300</v>
      </c>
      <c r="D183" s="66">
        <f>Tabla4[[#This Row],[CANTIDAD]]*Tabla4[[#This Row],[COSTO]]</f>
        <v>900</v>
      </c>
      <c r="E183" s="88">
        <v>500</v>
      </c>
      <c r="F183" s="98" t="s">
        <v>568</v>
      </c>
    </row>
    <row r="184" spans="1:6" ht="30" x14ac:dyDescent="0.25">
      <c r="A184" s="2" t="s">
        <v>187</v>
      </c>
      <c r="B184" s="62">
        <v>3</v>
      </c>
      <c r="C184" s="66">
        <v>300</v>
      </c>
      <c r="D184" s="66">
        <f>Tabla4[[#This Row],[CANTIDAD]]*Tabla4[[#This Row],[COSTO]]</f>
        <v>900</v>
      </c>
      <c r="E184" s="88">
        <v>500</v>
      </c>
      <c r="F184" s="97" t="s">
        <v>568</v>
      </c>
    </row>
    <row r="185" spans="1:6" ht="30" x14ac:dyDescent="0.25">
      <c r="A185" s="2" t="s">
        <v>188</v>
      </c>
      <c r="B185" s="62">
        <v>3</v>
      </c>
      <c r="C185" s="66">
        <v>320</v>
      </c>
      <c r="D185" s="66">
        <f>Tabla4[[#This Row],[CANTIDAD]]*Tabla4[[#This Row],[COSTO]]</f>
        <v>960</v>
      </c>
      <c r="E185" s="88">
        <v>500</v>
      </c>
      <c r="F185" s="98" t="s">
        <v>568</v>
      </c>
    </row>
    <row r="186" spans="1:6" ht="30" x14ac:dyDescent="0.25">
      <c r="A186" s="2" t="s">
        <v>189</v>
      </c>
      <c r="B186" s="62">
        <v>3</v>
      </c>
      <c r="C186" s="66">
        <v>300</v>
      </c>
      <c r="D186" s="66">
        <f>Tabla4[[#This Row],[CANTIDAD]]*Tabla4[[#This Row],[COSTO]]</f>
        <v>900</v>
      </c>
      <c r="E186" s="88">
        <v>500</v>
      </c>
      <c r="F186" s="97" t="s">
        <v>568</v>
      </c>
    </row>
    <row r="187" spans="1:6" ht="30" x14ac:dyDescent="0.25">
      <c r="A187" s="2" t="s">
        <v>190</v>
      </c>
      <c r="B187" s="62">
        <v>3</v>
      </c>
      <c r="C187" s="66">
        <v>300</v>
      </c>
      <c r="D187" s="66">
        <f>Tabla4[[#This Row],[CANTIDAD]]*Tabla4[[#This Row],[COSTO]]</f>
        <v>900</v>
      </c>
      <c r="E187" s="88">
        <v>500</v>
      </c>
      <c r="F187" s="98" t="s">
        <v>568</v>
      </c>
    </row>
    <row r="188" spans="1:6" ht="30" x14ac:dyDescent="0.25">
      <c r="A188" s="2" t="s">
        <v>191</v>
      </c>
      <c r="B188" s="62">
        <v>3</v>
      </c>
      <c r="C188" s="66">
        <v>300</v>
      </c>
      <c r="D188" s="66">
        <f>Tabla4[[#This Row],[CANTIDAD]]*Tabla4[[#This Row],[COSTO]]</f>
        <v>900</v>
      </c>
      <c r="E188" s="88">
        <v>500</v>
      </c>
      <c r="F188" s="97" t="s">
        <v>568</v>
      </c>
    </row>
    <row r="189" spans="1:6" ht="30" x14ac:dyDescent="0.25">
      <c r="A189" s="2" t="s">
        <v>192</v>
      </c>
      <c r="B189" s="62">
        <v>3</v>
      </c>
      <c r="C189" s="66">
        <v>300</v>
      </c>
      <c r="D189" s="66">
        <f>Tabla4[[#This Row],[CANTIDAD]]*Tabla4[[#This Row],[COSTO]]</f>
        <v>900</v>
      </c>
      <c r="E189" s="88">
        <v>500</v>
      </c>
      <c r="F189" s="98" t="s">
        <v>568</v>
      </c>
    </row>
    <row r="190" spans="1:6" ht="30" x14ac:dyDescent="0.25">
      <c r="A190" s="2" t="s">
        <v>193</v>
      </c>
      <c r="B190" s="62">
        <v>3</v>
      </c>
      <c r="C190" s="66">
        <v>300</v>
      </c>
      <c r="D190" s="66">
        <f>Tabla4[[#This Row],[CANTIDAD]]*Tabla4[[#This Row],[COSTO]]</f>
        <v>900</v>
      </c>
      <c r="E190" s="88">
        <v>500</v>
      </c>
      <c r="F190" s="97" t="s">
        <v>568</v>
      </c>
    </row>
    <row r="191" spans="1:6" ht="30" x14ac:dyDescent="0.25">
      <c r="A191" s="2" t="s">
        <v>194</v>
      </c>
      <c r="B191" s="62">
        <v>3</v>
      </c>
      <c r="C191" s="66">
        <v>300</v>
      </c>
      <c r="D191" s="66">
        <f>Tabla4[[#This Row],[CANTIDAD]]*Tabla4[[#This Row],[COSTO]]</f>
        <v>900</v>
      </c>
      <c r="E191" s="88">
        <v>500</v>
      </c>
      <c r="F191" s="98" t="s">
        <v>568</v>
      </c>
    </row>
    <row r="192" spans="1:6" ht="30" x14ac:dyDescent="0.25">
      <c r="A192" s="2" t="s">
        <v>195</v>
      </c>
      <c r="B192" s="62">
        <v>3</v>
      </c>
      <c r="C192" s="66">
        <v>850</v>
      </c>
      <c r="D192" s="63">
        <f>Tabla4[[#This Row],[CANTIDAD]]*Tabla4[[#This Row],[COSTO]]</f>
        <v>2550</v>
      </c>
      <c r="E192" s="87">
        <v>1200</v>
      </c>
      <c r="F192" s="97" t="s">
        <v>568</v>
      </c>
    </row>
    <row r="193" spans="1:6" ht="30" x14ac:dyDescent="0.25">
      <c r="A193" s="2" t="s">
        <v>196</v>
      </c>
      <c r="B193" s="62">
        <v>3</v>
      </c>
      <c r="C193" s="66">
        <v>850</v>
      </c>
      <c r="D193" s="63">
        <f>Tabla4[[#This Row],[CANTIDAD]]*Tabla4[[#This Row],[COSTO]]</f>
        <v>2550</v>
      </c>
      <c r="E193" s="87">
        <v>1200</v>
      </c>
      <c r="F193" s="98" t="s">
        <v>568</v>
      </c>
    </row>
    <row r="194" spans="1:6" ht="30" x14ac:dyDescent="0.25">
      <c r="A194" s="2" t="s">
        <v>197</v>
      </c>
      <c r="B194" s="62">
        <v>3</v>
      </c>
      <c r="C194" s="66">
        <v>850</v>
      </c>
      <c r="D194" s="63">
        <f>Tabla4[[#This Row],[CANTIDAD]]*Tabla4[[#This Row],[COSTO]]</f>
        <v>2550</v>
      </c>
      <c r="E194" s="87">
        <v>1200</v>
      </c>
      <c r="F194" s="97" t="s">
        <v>568</v>
      </c>
    </row>
    <row r="195" spans="1:6" ht="30" x14ac:dyDescent="0.25">
      <c r="A195" s="2" t="s">
        <v>198</v>
      </c>
      <c r="B195" s="62">
        <v>3</v>
      </c>
      <c r="C195" s="66">
        <v>850</v>
      </c>
      <c r="D195" s="63">
        <f>Tabla4[[#This Row],[CANTIDAD]]*Tabla4[[#This Row],[COSTO]]</f>
        <v>2550</v>
      </c>
      <c r="E195" s="87">
        <v>1200</v>
      </c>
      <c r="F195" s="98" t="s">
        <v>568</v>
      </c>
    </row>
    <row r="196" spans="1:6" ht="16.5" x14ac:dyDescent="0.25">
      <c r="A196" s="2" t="s">
        <v>199</v>
      </c>
      <c r="B196" s="62">
        <v>10</v>
      </c>
      <c r="C196" s="66">
        <v>360</v>
      </c>
      <c r="D196" s="63">
        <f>Tabla4[[#This Row],[CANTIDAD]]*Tabla4[[#This Row],[COSTO]]</f>
        <v>3600</v>
      </c>
      <c r="E196" s="88">
        <v>500</v>
      </c>
      <c r="F196" s="97" t="s">
        <v>568</v>
      </c>
    </row>
    <row r="197" spans="1:6" ht="16.5" x14ac:dyDescent="0.25">
      <c r="A197" s="2" t="s">
        <v>200</v>
      </c>
      <c r="B197" s="62">
        <v>10</v>
      </c>
      <c r="C197" s="66">
        <v>418</v>
      </c>
      <c r="D197" s="63">
        <f>Tabla4[[#This Row],[CANTIDAD]]*Tabla4[[#This Row],[COSTO]]</f>
        <v>4180</v>
      </c>
      <c r="E197" s="88">
        <v>600</v>
      </c>
      <c r="F197" s="98" t="s">
        <v>568</v>
      </c>
    </row>
    <row r="198" spans="1:6" ht="30" x14ac:dyDescent="0.25">
      <c r="A198" s="2" t="s">
        <v>201</v>
      </c>
      <c r="B198" s="62">
        <v>100</v>
      </c>
      <c r="C198" s="63">
        <v>8490</v>
      </c>
      <c r="D198" s="63">
        <f>Tabla4[[#This Row],[CANTIDAD]]*Tabla4[[#This Row],[COSTO]]</f>
        <v>849000</v>
      </c>
      <c r="E198" s="88">
        <v>200</v>
      </c>
      <c r="F198" s="97" t="s">
        <v>568</v>
      </c>
    </row>
    <row r="199" spans="1:6" ht="16.5" x14ac:dyDescent="0.25">
      <c r="A199" s="2" t="s">
        <v>202</v>
      </c>
      <c r="B199" s="62">
        <v>100</v>
      </c>
      <c r="C199" s="63">
        <v>8480</v>
      </c>
      <c r="D199" s="63">
        <f>Tabla4[[#This Row],[CANTIDAD]]*Tabla4[[#This Row],[COSTO]]</f>
        <v>848000</v>
      </c>
      <c r="E199" s="88">
        <v>200</v>
      </c>
      <c r="F199" s="98" t="s">
        <v>568</v>
      </c>
    </row>
    <row r="200" spans="1:6" ht="16.5" x14ac:dyDescent="0.25">
      <c r="A200" s="2" t="s">
        <v>203</v>
      </c>
      <c r="B200" s="62">
        <v>8</v>
      </c>
      <c r="C200" s="66">
        <v>350</v>
      </c>
      <c r="D200" s="63">
        <f>Tabla4[[#This Row],[CANTIDAD]]*Tabla4[[#This Row],[COSTO]]</f>
        <v>2800</v>
      </c>
      <c r="E200" s="88">
        <v>500</v>
      </c>
      <c r="F200" s="97" t="s">
        <v>568</v>
      </c>
    </row>
    <row r="201" spans="1:6" ht="30" x14ac:dyDescent="0.25">
      <c r="A201" s="2" t="s">
        <v>204</v>
      </c>
      <c r="B201" s="62">
        <v>25</v>
      </c>
      <c r="C201" s="63">
        <v>1730</v>
      </c>
      <c r="D201" s="63">
        <f>Tabla4[[#This Row],[CANTIDAD]]*Tabla4[[#This Row],[COSTO]]</f>
        <v>43250</v>
      </c>
      <c r="E201" s="88">
        <v>150</v>
      </c>
      <c r="F201" s="98" t="s">
        <v>568</v>
      </c>
    </row>
    <row r="202" spans="1:6" ht="16.5" x14ac:dyDescent="0.25">
      <c r="A202" s="2" t="s">
        <v>205</v>
      </c>
      <c r="B202" s="62">
        <v>50</v>
      </c>
      <c r="C202" s="66">
        <v>255</v>
      </c>
      <c r="D202" s="63">
        <f>Tabla4[[#This Row],[CANTIDAD]]*Tabla4[[#This Row],[COSTO]]</f>
        <v>12750</v>
      </c>
      <c r="E202" s="88">
        <v>400</v>
      </c>
      <c r="F202" s="97" t="s">
        <v>568</v>
      </c>
    </row>
    <row r="203" spans="1:6" ht="16.5" x14ac:dyDescent="0.25">
      <c r="A203" s="2" t="s">
        <v>206</v>
      </c>
      <c r="B203" s="62">
        <v>15</v>
      </c>
      <c r="C203" s="66">
        <v>290</v>
      </c>
      <c r="D203" s="63">
        <f>Tabla4[[#This Row],[CANTIDAD]]*Tabla4[[#This Row],[COSTO]]</f>
        <v>4350</v>
      </c>
      <c r="E203" s="88">
        <v>450</v>
      </c>
      <c r="F203" s="98" t="s">
        <v>568</v>
      </c>
    </row>
    <row r="204" spans="1:6" ht="16.5" x14ac:dyDescent="0.25">
      <c r="A204" s="2" t="s">
        <v>207</v>
      </c>
      <c r="B204" s="62">
        <v>20</v>
      </c>
      <c r="C204" s="66">
        <v>257</v>
      </c>
      <c r="D204" s="63">
        <f>Tabla4[[#This Row],[CANTIDAD]]*Tabla4[[#This Row],[COSTO]]</f>
        <v>5140</v>
      </c>
      <c r="E204" s="88">
        <v>360</v>
      </c>
      <c r="F204" s="97" t="s">
        <v>568</v>
      </c>
    </row>
    <row r="205" spans="1:6" ht="16.5" x14ac:dyDescent="0.25">
      <c r="A205" s="2" t="s">
        <v>208</v>
      </c>
      <c r="B205" s="62">
        <v>10</v>
      </c>
      <c r="C205" s="66">
        <v>615</v>
      </c>
      <c r="D205" s="63">
        <f>Tabla4[[#This Row],[CANTIDAD]]*Tabla4[[#This Row],[COSTO]]</f>
        <v>6150</v>
      </c>
      <c r="E205" s="88">
        <v>860</v>
      </c>
      <c r="F205" s="98" t="s">
        <v>568</v>
      </c>
    </row>
    <row r="206" spans="1:6" ht="16.5" x14ac:dyDescent="0.25">
      <c r="A206" s="2" t="s">
        <v>209</v>
      </c>
      <c r="B206" s="62">
        <v>100</v>
      </c>
      <c r="C206" s="63">
        <v>12470</v>
      </c>
      <c r="D206" s="63">
        <f>Tabla4[[#This Row],[CANTIDAD]]*Tabla4[[#This Row],[COSTO]]</f>
        <v>1247000</v>
      </c>
      <c r="E206" s="88">
        <v>300</v>
      </c>
      <c r="F206" s="97" t="s">
        <v>568</v>
      </c>
    </row>
    <row r="207" spans="1:6" ht="16.5" x14ac:dyDescent="0.25">
      <c r="A207" s="2" t="s">
        <v>210</v>
      </c>
      <c r="B207" s="62">
        <v>2</v>
      </c>
      <c r="C207" s="66">
        <v>350</v>
      </c>
      <c r="D207" s="66">
        <f>Tabla4[[#This Row],[CANTIDAD]]*Tabla4[[#This Row],[COSTO]]</f>
        <v>700</v>
      </c>
      <c r="E207" s="88">
        <v>500</v>
      </c>
      <c r="F207" s="98" t="s">
        <v>568</v>
      </c>
    </row>
    <row r="208" spans="1:6" ht="16.5" x14ac:dyDescent="0.25">
      <c r="A208" s="2" t="s">
        <v>211</v>
      </c>
      <c r="B208" s="62">
        <v>5</v>
      </c>
      <c r="C208" s="63">
        <v>1250</v>
      </c>
      <c r="D208" s="63">
        <f>Tabla4[[#This Row],[CANTIDAD]]*Tabla4[[#This Row],[COSTO]]</f>
        <v>6250</v>
      </c>
      <c r="E208" s="87">
        <v>1800</v>
      </c>
      <c r="F208" s="97" t="s">
        <v>568</v>
      </c>
    </row>
    <row r="209" spans="1:6" ht="16.5" x14ac:dyDescent="0.25">
      <c r="A209" s="2" t="s">
        <v>212</v>
      </c>
      <c r="B209" s="62">
        <v>12</v>
      </c>
      <c r="C209" s="63">
        <v>5450</v>
      </c>
      <c r="D209" s="63">
        <f>Tabla4[[#This Row],[CANTIDAD]]*Tabla4[[#This Row],[COSTO]]</f>
        <v>65400</v>
      </c>
      <c r="E209" s="88">
        <v>650</v>
      </c>
      <c r="F209" s="98" t="s">
        <v>568</v>
      </c>
    </row>
    <row r="210" spans="1:6" ht="16.5" x14ac:dyDescent="0.25">
      <c r="A210" s="2" t="s">
        <v>213</v>
      </c>
      <c r="B210" s="62">
        <v>24</v>
      </c>
      <c r="C210" s="63">
        <v>6530</v>
      </c>
      <c r="D210" s="63">
        <f>Tabla4[[#This Row],[CANTIDAD]]*Tabla4[[#This Row],[COSTO]]</f>
        <v>156720</v>
      </c>
      <c r="E210" s="88">
        <v>400</v>
      </c>
      <c r="F210" s="97" t="s">
        <v>568</v>
      </c>
    </row>
    <row r="211" spans="1:6" ht="16.5" x14ac:dyDescent="0.25">
      <c r="A211" s="2" t="s">
        <v>214</v>
      </c>
      <c r="B211" s="62">
        <v>6</v>
      </c>
      <c r="C211" s="63">
        <v>1460</v>
      </c>
      <c r="D211" s="63">
        <f>Tabla4[[#This Row],[CANTIDAD]]*Tabla4[[#This Row],[COSTO]]</f>
        <v>8760</v>
      </c>
      <c r="E211" s="88">
        <v>400</v>
      </c>
      <c r="F211" s="98" t="s">
        <v>568</v>
      </c>
    </row>
    <row r="212" spans="1:6" ht="30" x14ac:dyDescent="0.25">
      <c r="A212" s="2" t="s">
        <v>215</v>
      </c>
      <c r="B212" s="62">
        <v>30</v>
      </c>
      <c r="C212" s="63">
        <v>1370</v>
      </c>
      <c r="D212" s="63">
        <f>Tabla4[[#This Row],[CANTIDAD]]*Tabla4[[#This Row],[COSTO]]</f>
        <v>41100</v>
      </c>
      <c r="E212" s="88">
        <v>400</v>
      </c>
      <c r="F212" s="97" t="s">
        <v>568</v>
      </c>
    </row>
    <row r="213" spans="1:6" ht="16.5" x14ac:dyDescent="0.25">
      <c r="A213" s="2" t="s">
        <v>216</v>
      </c>
      <c r="B213" s="62">
        <v>6</v>
      </c>
      <c r="C213" s="63">
        <v>1740</v>
      </c>
      <c r="D213" s="63">
        <f>Tabla4[[#This Row],[CANTIDAD]]*Tabla4[[#This Row],[COSTO]]</f>
        <v>10440</v>
      </c>
      <c r="E213" s="88">
        <v>450</v>
      </c>
      <c r="F213" s="98" t="s">
        <v>568</v>
      </c>
    </row>
    <row r="214" spans="1:6" ht="30" x14ac:dyDescent="0.25">
      <c r="A214" s="2" t="s">
        <v>217</v>
      </c>
      <c r="B214" s="62">
        <v>6</v>
      </c>
      <c r="C214" s="63">
        <v>1560</v>
      </c>
      <c r="D214" s="63">
        <f>Tabla4[[#This Row],[CANTIDAD]]*Tabla4[[#This Row],[COSTO]]</f>
        <v>9360</v>
      </c>
      <c r="E214" s="88">
        <v>400</v>
      </c>
      <c r="F214" s="97" t="s">
        <v>568</v>
      </c>
    </row>
    <row r="215" spans="1:6" ht="16.5" x14ac:dyDescent="0.25">
      <c r="A215" s="2" t="s">
        <v>218</v>
      </c>
      <c r="B215" s="62">
        <v>12</v>
      </c>
      <c r="C215" s="63">
        <v>2060</v>
      </c>
      <c r="D215" s="63">
        <f>Tabla4[[#This Row],[CANTIDAD]]*Tabla4[[#This Row],[COSTO]]</f>
        <v>24720</v>
      </c>
      <c r="E215" s="88">
        <v>300</v>
      </c>
      <c r="F215" s="98" t="s">
        <v>568</v>
      </c>
    </row>
    <row r="216" spans="1:6" ht="30" x14ac:dyDescent="0.25">
      <c r="A216" s="2" t="s">
        <v>219</v>
      </c>
      <c r="B216" s="62">
        <v>12</v>
      </c>
      <c r="C216" s="63">
        <v>1790</v>
      </c>
      <c r="D216" s="63">
        <f>Tabla4[[#This Row],[CANTIDAD]]*Tabla4[[#This Row],[COSTO]]</f>
        <v>21480</v>
      </c>
      <c r="E216" s="88">
        <v>250</v>
      </c>
      <c r="F216" s="97" t="s">
        <v>568</v>
      </c>
    </row>
    <row r="217" spans="1:6" ht="16.5" x14ac:dyDescent="0.25">
      <c r="A217" s="2" t="s">
        <v>220</v>
      </c>
      <c r="B217" s="62">
        <v>12</v>
      </c>
      <c r="C217" s="63">
        <v>2360</v>
      </c>
      <c r="D217" s="63">
        <f>Tabla4[[#This Row],[CANTIDAD]]*Tabla4[[#This Row],[COSTO]]</f>
        <v>28320</v>
      </c>
      <c r="E217" s="88">
        <v>300</v>
      </c>
      <c r="F217" s="98" t="s">
        <v>568</v>
      </c>
    </row>
    <row r="218" spans="1:6" ht="30" x14ac:dyDescent="0.25">
      <c r="A218" s="2" t="s">
        <v>221</v>
      </c>
      <c r="B218" s="62">
        <v>12</v>
      </c>
      <c r="C218" s="63">
        <v>1980</v>
      </c>
      <c r="D218" s="63">
        <f>Tabla4[[#This Row],[CANTIDAD]]*Tabla4[[#This Row],[COSTO]]</f>
        <v>23760</v>
      </c>
      <c r="E218" s="88">
        <v>250</v>
      </c>
      <c r="F218" s="97" t="s">
        <v>568</v>
      </c>
    </row>
    <row r="219" spans="1:6" ht="16.5" x14ac:dyDescent="0.25">
      <c r="A219" s="2" t="s">
        <v>222</v>
      </c>
      <c r="B219" s="62">
        <v>12</v>
      </c>
      <c r="C219" s="63">
        <v>2740</v>
      </c>
      <c r="D219" s="63">
        <f>Tabla4[[#This Row],[CANTIDAD]]*Tabla4[[#This Row],[COSTO]]</f>
        <v>32880</v>
      </c>
      <c r="E219" s="88">
        <v>350</v>
      </c>
      <c r="F219" s="98" t="s">
        <v>568</v>
      </c>
    </row>
    <row r="220" spans="1:6" ht="30" x14ac:dyDescent="0.25">
      <c r="A220" s="2" t="s">
        <v>223</v>
      </c>
      <c r="B220" s="62">
        <v>12</v>
      </c>
      <c r="C220" s="63">
        <v>2450</v>
      </c>
      <c r="D220" s="63">
        <f>Tabla4[[#This Row],[CANTIDAD]]*Tabla4[[#This Row],[COSTO]]</f>
        <v>29400</v>
      </c>
      <c r="E220" s="88">
        <v>300</v>
      </c>
      <c r="F220" s="97" t="s">
        <v>568</v>
      </c>
    </row>
    <row r="221" spans="1:6" ht="16.5" x14ac:dyDescent="0.25">
      <c r="A221" s="2" t="s">
        <v>224</v>
      </c>
      <c r="B221" s="62">
        <v>90</v>
      </c>
      <c r="C221" s="63">
        <v>1020</v>
      </c>
      <c r="D221" s="63">
        <f>Tabla4[[#This Row],[CANTIDAD]]*Tabla4[[#This Row],[COSTO]]</f>
        <v>91800</v>
      </c>
      <c r="E221" s="88">
        <v>50</v>
      </c>
      <c r="F221" s="98" t="s">
        <v>568</v>
      </c>
    </row>
    <row r="222" spans="1:6" ht="16.5" x14ac:dyDescent="0.25">
      <c r="A222" s="2" t="s">
        <v>225</v>
      </c>
      <c r="B222" s="62">
        <v>10</v>
      </c>
      <c r="C222" s="63">
        <v>1020</v>
      </c>
      <c r="D222" s="63">
        <f>Tabla4[[#This Row],[CANTIDAD]]*Tabla4[[#This Row],[COSTO]]</f>
        <v>10200</v>
      </c>
      <c r="E222" s="87">
        <v>1450</v>
      </c>
      <c r="F222" s="97" t="s">
        <v>568</v>
      </c>
    </row>
    <row r="223" spans="1:6" ht="16.5" x14ac:dyDescent="0.25">
      <c r="A223" s="2" t="s">
        <v>226</v>
      </c>
      <c r="B223" s="62">
        <v>5</v>
      </c>
      <c r="C223" s="63">
        <v>1000</v>
      </c>
      <c r="D223" s="63">
        <f>Tabla4[[#This Row],[CANTIDAD]]*Tabla4[[#This Row],[COSTO]]</f>
        <v>5000</v>
      </c>
      <c r="E223" s="87">
        <v>1400</v>
      </c>
      <c r="F223" s="98" t="s">
        <v>568</v>
      </c>
    </row>
    <row r="224" spans="1:6" ht="16.5" x14ac:dyDescent="0.25">
      <c r="A224" s="2" t="s">
        <v>227</v>
      </c>
      <c r="B224" s="62">
        <v>6</v>
      </c>
      <c r="C224" s="66">
        <v>974</v>
      </c>
      <c r="D224" s="63">
        <f>Tabla4[[#This Row],[CANTIDAD]]*Tabla4[[#This Row],[COSTO]]</f>
        <v>5844</v>
      </c>
      <c r="E224" s="87">
        <v>1500</v>
      </c>
      <c r="F224" s="97" t="s">
        <v>568</v>
      </c>
    </row>
    <row r="225" spans="1:6" ht="30" x14ac:dyDescent="0.25">
      <c r="A225" s="2" t="s">
        <v>228</v>
      </c>
      <c r="B225" s="62">
        <v>50</v>
      </c>
      <c r="C225" s="63">
        <v>1240</v>
      </c>
      <c r="D225" s="63">
        <f>Tabla4[[#This Row],[CANTIDAD]]*Tabla4[[#This Row],[COSTO]]</f>
        <v>62000</v>
      </c>
      <c r="E225" s="88">
        <v>50</v>
      </c>
      <c r="F225" s="98" t="s">
        <v>568</v>
      </c>
    </row>
    <row r="226" spans="1:6" ht="30" x14ac:dyDescent="0.25">
      <c r="A226" s="2" t="s">
        <v>229</v>
      </c>
      <c r="B226" s="62">
        <v>50</v>
      </c>
      <c r="C226" s="63">
        <v>1290</v>
      </c>
      <c r="D226" s="63">
        <f>Tabla4[[#This Row],[CANTIDAD]]*Tabla4[[#This Row],[COSTO]]</f>
        <v>64500</v>
      </c>
      <c r="E226" s="88">
        <v>50</v>
      </c>
      <c r="F226" s="97" t="s">
        <v>568</v>
      </c>
    </row>
    <row r="227" spans="1:6" ht="16.5" x14ac:dyDescent="0.25">
      <c r="A227" s="2" t="s">
        <v>230</v>
      </c>
      <c r="B227" s="62">
        <v>5</v>
      </c>
      <c r="C227" s="66">
        <v>850</v>
      </c>
      <c r="D227" s="63">
        <f>Tabla4[[#This Row],[CANTIDAD]]*Tabla4[[#This Row],[COSTO]]</f>
        <v>4250</v>
      </c>
      <c r="E227" s="87">
        <v>1200</v>
      </c>
      <c r="F227" s="98" t="s">
        <v>568</v>
      </c>
    </row>
    <row r="228" spans="1:6" ht="16.5" x14ac:dyDescent="0.25">
      <c r="A228" s="2" t="s">
        <v>231</v>
      </c>
      <c r="B228" s="62">
        <v>12</v>
      </c>
      <c r="C228" s="63">
        <v>3940</v>
      </c>
      <c r="D228" s="63">
        <f>Tabla4[[#This Row],[CANTIDAD]]*Tabla4[[#This Row],[COSTO]]</f>
        <v>47280</v>
      </c>
      <c r="E228" s="88">
        <v>500</v>
      </c>
      <c r="F228" s="97" t="s">
        <v>568</v>
      </c>
    </row>
    <row r="229" spans="1:6" ht="16.5" x14ac:dyDescent="0.25">
      <c r="A229" s="2" t="s">
        <v>232</v>
      </c>
      <c r="B229" s="62">
        <v>12</v>
      </c>
      <c r="C229" s="63">
        <v>3940</v>
      </c>
      <c r="D229" s="63">
        <f>Tabla4[[#This Row],[CANTIDAD]]*Tabla4[[#This Row],[COSTO]]</f>
        <v>47280</v>
      </c>
      <c r="E229" s="88">
        <v>500</v>
      </c>
      <c r="F229" s="98" t="s">
        <v>568</v>
      </c>
    </row>
    <row r="230" spans="1:6" ht="16.5" x14ac:dyDescent="0.25">
      <c r="A230" s="2" t="s">
        <v>233</v>
      </c>
      <c r="B230" s="62">
        <v>12</v>
      </c>
      <c r="C230" s="63">
        <v>3940</v>
      </c>
      <c r="D230" s="63">
        <f>Tabla4[[#This Row],[CANTIDAD]]*Tabla4[[#This Row],[COSTO]]</f>
        <v>47280</v>
      </c>
      <c r="E230" s="88">
        <v>500</v>
      </c>
      <c r="F230" s="97" t="s">
        <v>568</v>
      </c>
    </row>
    <row r="231" spans="1:6" ht="16.5" x14ac:dyDescent="0.25">
      <c r="A231" s="2" t="s">
        <v>234</v>
      </c>
      <c r="B231" s="62">
        <v>12</v>
      </c>
      <c r="C231" s="63">
        <v>3940</v>
      </c>
      <c r="D231" s="63">
        <f>Tabla4[[#This Row],[CANTIDAD]]*Tabla4[[#This Row],[COSTO]]</f>
        <v>47280</v>
      </c>
      <c r="E231" s="88">
        <v>500</v>
      </c>
      <c r="F231" s="98" t="s">
        <v>568</v>
      </c>
    </row>
    <row r="232" spans="1:6" ht="16.5" x14ac:dyDescent="0.25">
      <c r="A232" s="2" t="s">
        <v>235</v>
      </c>
      <c r="B232" s="62">
        <v>7</v>
      </c>
      <c r="C232" s="66">
        <v>390</v>
      </c>
      <c r="D232" s="63">
        <f>Tabla4[[#This Row],[CANTIDAD]]*Tabla4[[#This Row],[COSTO]]</f>
        <v>2730</v>
      </c>
      <c r="E232" s="88">
        <v>600</v>
      </c>
      <c r="F232" s="97" t="s">
        <v>568</v>
      </c>
    </row>
    <row r="233" spans="1:6" ht="30" x14ac:dyDescent="0.25">
      <c r="A233" s="2" t="s">
        <v>236</v>
      </c>
      <c r="B233" s="62">
        <v>12</v>
      </c>
      <c r="C233" s="63">
        <v>5460</v>
      </c>
      <c r="D233" s="63">
        <f>Tabla4[[#This Row],[CANTIDAD]]*Tabla4[[#This Row],[COSTO]]</f>
        <v>65520</v>
      </c>
      <c r="E233" s="88">
        <v>700</v>
      </c>
      <c r="F233" s="98" t="s">
        <v>568</v>
      </c>
    </row>
    <row r="234" spans="1:6" ht="30" x14ac:dyDescent="0.25">
      <c r="A234" s="2" t="s">
        <v>237</v>
      </c>
      <c r="B234" s="62">
        <v>12</v>
      </c>
      <c r="C234" s="63">
        <v>9780</v>
      </c>
      <c r="D234" s="63">
        <f>Tabla4[[#This Row],[CANTIDAD]]*Tabla4[[#This Row],[COSTO]]</f>
        <v>117360</v>
      </c>
      <c r="E234" s="87">
        <v>1200</v>
      </c>
      <c r="F234" s="97" t="s">
        <v>568</v>
      </c>
    </row>
    <row r="235" spans="1:6" ht="16.5" x14ac:dyDescent="0.25">
      <c r="A235" s="2" t="s">
        <v>238</v>
      </c>
      <c r="B235" s="62">
        <v>20</v>
      </c>
      <c r="C235" s="66">
        <v>115</v>
      </c>
      <c r="D235" s="63">
        <f>Tabla4[[#This Row],[CANTIDAD]]*Tabla4[[#This Row],[COSTO]]</f>
        <v>2300</v>
      </c>
      <c r="E235" s="88">
        <v>200</v>
      </c>
      <c r="F235" s="98" t="s">
        <v>568</v>
      </c>
    </row>
    <row r="236" spans="1:6" ht="16.5" x14ac:dyDescent="0.25">
      <c r="A236" s="2" t="s">
        <v>239</v>
      </c>
      <c r="B236" s="62">
        <v>5</v>
      </c>
      <c r="C236" s="66">
        <v>390</v>
      </c>
      <c r="D236" s="63">
        <f>Tabla4[[#This Row],[CANTIDAD]]*Tabla4[[#This Row],[COSTO]]</f>
        <v>1950</v>
      </c>
      <c r="E236" s="88">
        <v>600</v>
      </c>
      <c r="F236" s="97" t="s">
        <v>568</v>
      </c>
    </row>
    <row r="237" spans="1:6" ht="16.5" x14ac:dyDescent="0.25">
      <c r="A237" s="2" t="s">
        <v>240</v>
      </c>
      <c r="B237" s="62">
        <v>5</v>
      </c>
      <c r="C237" s="66">
        <v>860</v>
      </c>
      <c r="D237" s="63">
        <f>Tabla4[[#This Row],[CANTIDAD]]*Tabla4[[#This Row],[COSTO]]</f>
        <v>4300</v>
      </c>
      <c r="E237" s="87">
        <v>1200</v>
      </c>
      <c r="F237" s="98" t="s">
        <v>568</v>
      </c>
    </row>
    <row r="238" spans="1:6" ht="16.5" x14ac:dyDescent="0.25">
      <c r="A238" s="2" t="s">
        <v>241</v>
      </c>
      <c r="B238" s="62">
        <v>20</v>
      </c>
      <c r="C238" s="66">
        <v>125</v>
      </c>
      <c r="D238" s="63">
        <f>Tabla4[[#This Row],[CANTIDAD]]*Tabla4[[#This Row],[COSTO]]</f>
        <v>2500</v>
      </c>
      <c r="E238" s="88">
        <v>250</v>
      </c>
      <c r="F238" s="97" t="s">
        <v>568</v>
      </c>
    </row>
    <row r="239" spans="1:6" ht="16.5" x14ac:dyDescent="0.25">
      <c r="A239" s="2" t="s">
        <v>242</v>
      </c>
      <c r="B239" s="62">
        <v>20</v>
      </c>
      <c r="C239" s="66">
        <v>190</v>
      </c>
      <c r="D239" s="63">
        <f>Tabla4[[#This Row],[CANTIDAD]]*Tabla4[[#This Row],[COSTO]]</f>
        <v>3800</v>
      </c>
      <c r="E239" s="88">
        <v>300</v>
      </c>
      <c r="F239" s="98" t="s">
        <v>568</v>
      </c>
    </row>
    <row r="240" spans="1:6" ht="16.5" x14ac:dyDescent="0.25">
      <c r="A240" s="2" t="s">
        <v>243</v>
      </c>
      <c r="B240" s="62">
        <v>4</v>
      </c>
      <c r="C240" s="63">
        <v>3290</v>
      </c>
      <c r="D240" s="63">
        <f>Tabla4[[#This Row],[CANTIDAD]]*Tabla4[[#This Row],[COSTO]]</f>
        <v>13160</v>
      </c>
      <c r="E240" s="87">
        <v>4700</v>
      </c>
      <c r="F240" s="97" t="s">
        <v>568</v>
      </c>
    </row>
    <row r="241" spans="1:6" ht="30" x14ac:dyDescent="0.25">
      <c r="A241" s="2" t="s">
        <v>244</v>
      </c>
      <c r="B241" s="62">
        <v>12</v>
      </c>
      <c r="C241" s="63">
        <v>4010</v>
      </c>
      <c r="D241" s="63">
        <f>Tabla4[[#This Row],[CANTIDAD]]*Tabla4[[#This Row],[COSTO]]</f>
        <v>48120</v>
      </c>
      <c r="E241" s="88">
        <v>470</v>
      </c>
      <c r="F241" s="98" t="s">
        <v>568</v>
      </c>
    </row>
    <row r="242" spans="1:6" ht="16.5" x14ac:dyDescent="0.25">
      <c r="A242" s="2" t="s">
        <v>245</v>
      </c>
      <c r="B242" s="62">
        <v>12</v>
      </c>
      <c r="C242" s="63">
        <v>4110</v>
      </c>
      <c r="D242" s="63">
        <f>Tabla4[[#This Row],[CANTIDAD]]*Tabla4[[#This Row],[COSTO]]</f>
        <v>49320</v>
      </c>
      <c r="E242" s="88">
        <v>550</v>
      </c>
      <c r="F242" s="97" t="s">
        <v>568</v>
      </c>
    </row>
    <row r="243" spans="1:6" ht="16.5" x14ac:dyDescent="0.25">
      <c r="A243" s="2" t="s">
        <v>246</v>
      </c>
      <c r="B243" s="62">
        <v>5</v>
      </c>
      <c r="C243" s="63">
        <v>1050</v>
      </c>
      <c r="D243" s="63">
        <f>Tabla4[[#This Row],[CANTIDAD]]*Tabla4[[#This Row],[COSTO]]</f>
        <v>5250</v>
      </c>
      <c r="E243" s="87">
        <v>1700</v>
      </c>
      <c r="F243" s="98" t="s">
        <v>568</v>
      </c>
    </row>
    <row r="244" spans="1:6" ht="16.5" x14ac:dyDescent="0.25">
      <c r="A244" s="2" t="s">
        <v>247</v>
      </c>
      <c r="B244" s="62">
        <v>25</v>
      </c>
      <c r="C244" s="63">
        <v>2810</v>
      </c>
      <c r="D244" s="63">
        <f>Tabla4[[#This Row],[CANTIDAD]]*Tabla4[[#This Row],[COSTO]]</f>
        <v>70250</v>
      </c>
      <c r="E244" s="88">
        <v>250</v>
      </c>
      <c r="F244" s="97" t="s">
        <v>568</v>
      </c>
    </row>
    <row r="245" spans="1:6" ht="30" x14ac:dyDescent="0.25">
      <c r="A245" s="2" t="s">
        <v>248</v>
      </c>
      <c r="B245" s="62">
        <v>75</v>
      </c>
      <c r="C245" s="66">
        <v>930</v>
      </c>
      <c r="D245" s="63">
        <f>Tabla4[[#This Row],[CANTIDAD]]*Tabla4[[#This Row],[COSTO]]</f>
        <v>69750</v>
      </c>
      <c r="E245" s="88">
        <v>100</v>
      </c>
      <c r="F245" s="98" t="s">
        <v>568</v>
      </c>
    </row>
    <row r="246" spans="1:6" ht="30" x14ac:dyDescent="0.25">
      <c r="A246" s="2" t="s">
        <v>249</v>
      </c>
      <c r="B246" s="62">
        <v>75</v>
      </c>
      <c r="C246" s="66">
        <v>670</v>
      </c>
      <c r="D246" s="63">
        <f>Tabla4[[#This Row],[CANTIDAD]]*Tabla4[[#This Row],[COSTO]]</f>
        <v>50250</v>
      </c>
      <c r="E246" s="88">
        <v>50</v>
      </c>
      <c r="F246" s="97" t="s">
        <v>568</v>
      </c>
    </row>
    <row r="247" spans="1:6" ht="16.5" x14ac:dyDescent="0.25">
      <c r="A247" s="2" t="s">
        <v>250</v>
      </c>
      <c r="B247" s="62">
        <v>3</v>
      </c>
      <c r="C247" s="63">
        <v>1150</v>
      </c>
      <c r="D247" s="63">
        <f>Tabla4[[#This Row],[CANTIDAD]]*Tabla4[[#This Row],[COSTO]]</f>
        <v>3450</v>
      </c>
      <c r="E247" s="87">
        <v>2000</v>
      </c>
      <c r="F247" s="98" t="s">
        <v>568</v>
      </c>
    </row>
    <row r="248" spans="1:6" ht="16.5" x14ac:dyDescent="0.25">
      <c r="A248" s="2" t="s">
        <v>251</v>
      </c>
      <c r="B248" s="62">
        <v>10</v>
      </c>
      <c r="C248" s="63">
        <v>1273</v>
      </c>
      <c r="D248" s="63">
        <f>Tabla4[[#This Row],[CANTIDAD]]*Tabla4[[#This Row],[COSTO]]</f>
        <v>12730</v>
      </c>
      <c r="E248" s="87">
        <v>1800</v>
      </c>
      <c r="F248" s="97" t="s">
        <v>568</v>
      </c>
    </row>
    <row r="249" spans="1:6" ht="16.5" x14ac:dyDescent="0.25">
      <c r="A249" s="2" t="s">
        <v>252</v>
      </c>
      <c r="B249" s="62">
        <v>4</v>
      </c>
      <c r="C249" s="63">
        <v>1655</v>
      </c>
      <c r="D249" s="63">
        <f>Tabla4[[#This Row],[CANTIDAD]]*Tabla4[[#This Row],[COSTO]]</f>
        <v>6620</v>
      </c>
      <c r="E249" s="87">
        <v>2350</v>
      </c>
      <c r="F249" s="98" t="s">
        <v>568</v>
      </c>
    </row>
    <row r="250" spans="1:6" ht="16.5" x14ac:dyDescent="0.25">
      <c r="A250" s="2" t="s">
        <v>253</v>
      </c>
      <c r="B250" s="62">
        <v>3</v>
      </c>
      <c r="C250" s="63">
        <v>1036</v>
      </c>
      <c r="D250" s="63">
        <f>Tabla4[[#This Row],[CANTIDAD]]*Tabla4[[#This Row],[COSTO]]</f>
        <v>3108</v>
      </c>
      <c r="E250" s="87">
        <v>1450</v>
      </c>
      <c r="F250" s="97" t="s">
        <v>568</v>
      </c>
    </row>
    <row r="251" spans="1:6" ht="16.5" x14ac:dyDescent="0.25">
      <c r="A251" s="2" t="s">
        <v>254</v>
      </c>
      <c r="B251" s="62">
        <v>3</v>
      </c>
      <c r="C251" s="63">
        <v>1118</v>
      </c>
      <c r="D251" s="63">
        <f>Tabla4[[#This Row],[CANTIDAD]]*Tabla4[[#This Row],[COSTO]]</f>
        <v>3354</v>
      </c>
      <c r="E251" s="87">
        <v>1600</v>
      </c>
      <c r="F251" s="98" t="s">
        <v>568</v>
      </c>
    </row>
    <row r="252" spans="1:6" ht="16.5" x14ac:dyDescent="0.25">
      <c r="A252" s="2" t="s">
        <v>562</v>
      </c>
      <c r="B252" s="62">
        <v>10</v>
      </c>
      <c r="C252" s="66">
        <v>380</v>
      </c>
      <c r="D252" s="63">
        <f>Tabla4[[#This Row],[CANTIDAD]]*Tabla4[[#This Row],[COSTO]]</f>
        <v>3800</v>
      </c>
      <c r="E252" s="88">
        <v>550</v>
      </c>
      <c r="F252" s="97" t="s">
        <v>568</v>
      </c>
    </row>
    <row r="253" spans="1:6" ht="16.5" x14ac:dyDescent="0.25">
      <c r="A253" s="2" t="s">
        <v>554</v>
      </c>
      <c r="B253" s="62">
        <v>10</v>
      </c>
      <c r="C253" s="66">
        <v>540</v>
      </c>
      <c r="D253" s="63">
        <f>Tabla4[[#This Row],[CANTIDAD]]*Tabla4[[#This Row],[COSTO]]</f>
        <v>5400</v>
      </c>
      <c r="E253" s="88">
        <v>800</v>
      </c>
      <c r="F253" s="98" t="s">
        <v>568</v>
      </c>
    </row>
    <row r="254" spans="1:6" ht="16.5" x14ac:dyDescent="0.25">
      <c r="A254" s="2" t="s">
        <v>563</v>
      </c>
      <c r="B254" s="62">
        <v>10</v>
      </c>
      <c r="C254" s="66">
        <v>610</v>
      </c>
      <c r="D254" s="63">
        <f>Tabla4[[#This Row],[CANTIDAD]]*Tabla4[[#This Row],[COSTO]]</f>
        <v>6100</v>
      </c>
      <c r="E254" s="88">
        <v>900</v>
      </c>
      <c r="F254" s="97" t="s">
        <v>568</v>
      </c>
    </row>
    <row r="255" spans="1:6" ht="16.5" x14ac:dyDescent="0.25">
      <c r="A255" s="2" t="s">
        <v>258</v>
      </c>
      <c r="B255" s="62">
        <v>12</v>
      </c>
      <c r="C255" s="63">
        <v>10010</v>
      </c>
      <c r="D255" s="63">
        <f>Tabla4[[#This Row],[CANTIDAD]]*Tabla4[[#This Row],[COSTO]]</f>
        <v>120120</v>
      </c>
      <c r="E255" s="87">
        <v>1200</v>
      </c>
      <c r="F255" s="98" t="s">
        <v>568</v>
      </c>
    </row>
    <row r="256" spans="1:6" ht="16.5" x14ac:dyDescent="0.25">
      <c r="A256" s="2" t="s">
        <v>259</v>
      </c>
      <c r="B256" s="62">
        <v>12</v>
      </c>
      <c r="C256" s="63">
        <v>9380</v>
      </c>
      <c r="D256" s="63">
        <f>Tabla4[[#This Row],[CANTIDAD]]*Tabla4[[#This Row],[COSTO]]</f>
        <v>112560</v>
      </c>
      <c r="E256" s="87">
        <v>1100</v>
      </c>
      <c r="F256" s="97" t="s">
        <v>568</v>
      </c>
    </row>
    <row r="257" spans="1:6" ht="16.5" x14ac:dyDescent="0.25">
      <c r="A257" s="2" t="s">
        <v>260</v>
      </c>
      <c r="B257" s="62">
        <v>12</v>
      </c>
      <c r="C257" s="63">
        <v>10000</v>
      </c>
      <c r="D257" s="63">
        <f>Tabla4[[#This Row],[CANTIDAD]]*Tabla4[[#This Row],[COSTO]]</f>
        <v>120000</v>
      </c>
      <c r="E257" s="87">
        <v>1200</v>
      </c>
      <c r="F257" s="98" t="s">
        <v>568</v>
      </c>
    </row>
    <row r="258" spans="1:6" ht="16.5" x14ac:dyDescent="0.25">
      <c r="A258" s="2" t="s">
        <v>261</v>
      </c>
      <c r="B258" s="62">
        <v>100</v>
      </c>
      <c r="C258" s="63">
        <v>1440</v>
      </c>
      <c r="D258" s="63">
        <f>Tabla4[[#This Row],[CANTIDAD]]*Tabla4[[#This Row],[COSTO]]</f>
        <v>144000</v>
      </c>
      <c r="E258" s="88">
        <v>100</v>
      </c>
      <c r="F258" s="97" t="s">
        <v>568</v>
      </c>
    </row>
    <row r="259" spans="1:6" ht="16.5" x14ac:dyDescent="0.25">
      <c r="A259" s="2" t="s">
        <v>262</v>
      </c>
      <c r="B259" s="62">
        <v>12</v>
      </c>
      <c r="C259" s="63">
        <v>2810</v>
      </c>
      <c r="D259" s="63">
        <f>Tabla4[[#This Row],[CANTIDAD]]*Tabla4[[#This Row],[COSTO]]</f>
        <v>33720</v>
      </c>
      <c r="E259" s="88">
        <v>500</v>
      </c>
      <c r="F259" s="98" t="s">
        <v>568</v>
      </c>
    </row>
    <row r="260" spans="1:6" ht="16.5" x14ac:dyDescent="0.25">
      <c r="A260" s="2" t="s">
        <v>263</v>
      </c>
      <c r="B260" s="62">
        <v>20</v>
      </c>
      <c r="C260" s="66">
        <v>140</v>
      </c>
      <c r="D260" s="63">
        <f>Tabla4[[#This Row],[CANTIDAD]]*Tabla4[[#This Row],[COSTO]]</f>
        <v>2800</v>
      </c>
      <c r="E260" s="88">
        <v>250</v>
      </c>
      <c r="F260" s="97" t="s">
        <v>568</v>
      </c>
    </row>
    <row r="261" spans="1:6" ht="30" x14ac:dyDescent="0.25">
      <c r="A261" s="4" t="s">
        <v>264</v>
      </c>
      <c r="B261" s="62">
        <v>5</v>
      </c>
      <c r="C261" s="67">
        <v>2290</v>
      </c>
      <c r="D261" s="67">
        <f>Tabla4[[#This Row],[CANTIDAD]]*Tabla4[[#This Row],[COSTO]]</f>
        <v>11450</v>
      </c>
      <c r="E261" s="89">
        <v>3200</v>
      </c>
      <c r="F261" s="98" t="s">
        <v>568</v>
      </c>
    </row>
    <row r="262" spans="1:6" ht="30" x14ac:dyDescent="0.25">
      <c r="A262" s="2" t="s">
        <v>265</v>
      </c>
      <c r="B262" s="62">
        <v>12</v>
      </c>
      <c r="C262" s="68">
        <v>2260</v>
      </c>
      <c r="D262" s="68">
        <f>Tabla4[[#This Row],[CANTIDAD]]*Tabla4[[#This Row],[COSTO]]</f>
        <v>27120</v>
      </c>
      <c r="E262" s="90">
        <v>270</v>
      </c>
      <c r="F262" s="97" t="s">
        <v>568</v>
      </c>
    </row>
    <row r="263" spans="1:6" ht="16.5" x14ac:dyDescent="0.25">
      <c r="A263" s="2" t="s">
        <v>266</v>
      </c>
      <c r="B263" s="62">
        <v>12</v>
      </c>
      <c r="C263" s="68">
        <v>2550</v>
      </c>
      <c r="D263" s="68">
        <f>Tabla4[[#This Row],[CANTIDAD]]*Tabla4[[#This Row],[COSTO]]</f>
        <v>30600</v>
      </c>
      <c r="E263" s="90">
        <v>300</v>
      </c>
      <c r="F263" s="98" t="s">
        <v>568</v>
      </c>
    </row>
    <row r="264" spans="1:6" ht="16.5" x14ac:dyDescent="0.25">
      <c r="A264" s="2" t="s">
        <v>267</v>
      </c>
      <c r="B264" s="62">
        <v>5</v>
      </c>
      <c r="C264" s="68">
        <v>710</v>
      </c>
      <c r="D264" s="68">
        <f>Tabla4[[#This Row],[CANTIDAD]]*Tabla4[[#This Row],[COSTO]]</f>
        <v>3550</v>
      </c>
      <c r="E264" s="89">
        <v>1000</v>
      </c>
      <c r="F264" s="97" t="s">
        <v>568</v>
      </c>
    </row>
    <row r="265" spans="1:6" ht="30" x14ac:dyDescent="0.25">
      <c r="A265" s="2" t="s">
        <v>268</v>
      </c>
      <c r="B265" s="62">
        <v>10</v>
      </c>
      <c r="C265" s="68">
        <v>520</v>
      </c>
      <c r="D265" s="68">
        <f>Tabla4[[#This Row],[CANTIDAD]]*Tabla4[[#This Row],[COSTO]]</f>
        <v>5200</v>
      </c>
      <c r="E265" s="90">
        <v>750</v>
      </c>
      <c r="F265" s="98" t="s">
        <v>568</v>
      </c>
    </row>
    <row r="266" spans="1:6" ht="30" x14ac:dyDescent="0.25">
      <c r="A266" s="2" t="s">
        <v>269</v>
      </c>
      <c r="B266" s="62">
        <v>12</v>
      </c>
      <c r="C266" s="68">
        <v>2000</v>
      </c>
      <c r="D266" s="68">
        <f>Tabla4[[#This Row],[CANTIDAD]]*Tabla4[[#This Row],[COSTO]]</f>
        <v>24000</v>
      </c>
      <c r="E266" s="90">
        <v>250</v>
      </c>
      <c r="F266" s="97" t="s">
        <v>568</v>
      </c>
    </row>
    <row r="267" spans="1:6" ht="30" x14ac:dyDescent="0.25">
      <c r="A267" s="2" t="s">
        <v>270</v>
      </c>
      <c r="B267" s="62">
        <v>3</v>
      </c>
      <c r="C267" s="68">
        <v>860</v>
      </c>
      <c r="D267" s="68">
        <f>Tabla4[[#This Row],[CANTIDAD]]*Tabla4[[#This Row],[COSTO]]</f>
        <v>2580</v>
      </c>
      <c r="E267" s="89">
        <v>1200</v>
      </c>
      <c r="F267" s="98" t="s">
        <v>568</v>
      </c>
    </row>
    <row r="268" spans="1:6" ht="30" x14ac:dyDescent="0.25">
      <c r="A268" s="2" t="s">
        <v>271</v>
      </c>
      <c r="B268" s="62">
        <v>3</v>
      </c>
      <c r="C268" s="68">
        <v>860</v>
      </c>
      <c r="D268" s="68">
        <f>Tabla4[[#This Row],[CANTIDAD]]*Tabla4[[#This Row],[COSTO]]</f>
        <v>2580</v>
      </c>
      <c r="E268" s="89">
        <v>1200</v>
      </c>
      <c r="F268" s="97" t="s">
        <v>568</v>
      </c>
    </row>
    <row r="269" spans="1:6" ht="30" x14ac:dyDescent="0.25">
      <c r="A269" s="2" t="s">
        <v>272</v>
      </c>
      <c r="B269" s="62">
        <v>3</v>
      </c>
      <c r="C269" s="68">
        <v>860</v>
      </c>
      <c r="D269" s="68">
        <f>Tabla4[[#This Row],[CANTIDAD]]*Tabla4[[#This Row],[COSTO]]</f>
        <v>2580</v>
      </c>
      <c r="E269" s="89">
        <v>1200</v>
      </c>
      <c r="F269" s="98" t="s">
        <v>568</v>
      </c>
    </row>
    <row r="270" spans="1:6" ht="30" x14ac:dyDescent="0.25">
      <c r="A270" s="2" t="s">
        <v>273</v>
      </c>
      <c r="B270" s="62">
        <v>3</v>
      </c>
      <c r="C270" s="68">
        <v>860</v>
      </c>
      <c r="D270" s="68">
        <f>Tabla4[[#This Row],[CANTIDAD]]*Tabla4[[#This Row],[COSTO]]</f>
        <v>2580</v>
      </c>
      <c r="E270" s="89">
        <v>1200</v>
      </c>
      <c r="F270" s="97" t="s">
        <v>568</v>
      </c>
    </row>
    <row r="271" spans="1:6" ht="30" x14ac:dyDescent="0.25">
      <c r="A271" s="2" t="s">
        <v>274</v>
      </c>
      <c r="B271" s="62">
        <v>3</v>
      </c>
      <c r="C271" s="68">
        <v>450</v>
      </c>
      <c r="D271" s="68">
        <f>Tabla4[[#This Row],[CANTIDAD]]*Tabla4[[#This Row],[COSTO]]</f>
        <v>1350</v>
      </c>
      <c r="E271" s="90">
        <v>700</v>
      </c>
      <c r="F271" s="98" t="s">
        <v>568</v>
      </c>
    </row>
    <row r="272" spans="1:6" ht="30" x14ac:dyDescent="0.25">
      <c r="A272" s="2" t="s">
        <v>275</v>
      </c>
      <c r="B272" s="62">
        <v>3</v>
      </c>
      <c r="C272" s="68">
        <v>680</v>
      </c>
      <c r="D272" s="68">
        <f>Tabla4[[#This Row],[CANTIDAD]]*Tabla4[[#This Row],[COSTO]]</f>
        <v>2040</v>
      </c>
      <c r="E272" s="89">
        <v>1000</v>
      </c>
      <c r="F272" s="97" t="s">
        <v>568</v>
      </c>
    </row>
    <row r="273" spans="1:6" ht="30" x14ac:dyDescent="0.25">
      <c r="A273" s="2" t="s">
        <v>276</v>
      </c>
      <c r="B273" s="62">
        <v>3</v>
      </c>
      <c r="C273" s="68">
        <v>860</v>
      </c>
      <c r="D273" s="68">
        <f>Tabla4[[#This Row],[CANTIDAD]]*Tabla4[[#This Row],[COSTO]]</f>
        <v>2580</v>
      </c>
      <c r="E273" s="89">
        <v>1200</v>
      </c>
      <c r="F273" s="98" t="s">
        <v>568</v>
      </c>
    </row>
    <row r="274" spans="1:6" ht="16.5" x14ac:dyDescent="0.25">
      <c r="A274" s="2" t="s">
        <v>277</v>
      </c>
      <c r="B274" s="62">
        <v>2</v>
      </c>
      <c r="C274" s="68">
        <v>2600</v>
      </c>
      <c r="D274" s="68">
        <f>Tabla4[[#This Row],[CANTIDAD]]*Tabla4[[#This Row],[COSTO]]</f>
        <v>5200</v>
      </c>
      <c r="E274" s="89">
        <v>3700</v>
      </c>
      <c r="F274" s="97" t="s">
        <v>568</v>
      </c>
    </row>
    <row r="275" spans="1:6" ht="16.5" x14ac:dyDescent="0.25">
      <c r="A275" s="2" t="s">
        <v>125</v>
      </c>
      <c r="B275" s="62">
        <v>100</v>
      </c>
      <c r="C275" s="68">
        <v>2510</v>
      </c>
      <c r="D275" s="68">
        <f>Tabla4[[#This Row],[CANTIDAD]]*Tabla4[[#This Row],[COSTO]]</f>
        <v>251000</v>
      </c>
      <c r="E275" s="90">
        <v>50</v>
      </c>
      <c r="F275" s="98" t="s">
        <v>568</v>
      </c>
    </row>
    <row r="276" spans="1:6" ht="16.5" x14ac:dyDescent="0.25">
      <c r="A276" s="2" t="s">
        <v>124</v>
      </c>
      <c r="B276" s="62">
        <v>100</v>
      </c>
      <c r="C276" s="68">
        <v>2670</v>
      </c>
      <c r="D276" s="68">
        <f>Tabla4[[#This Row],[CANTIDAD]]*Tabla4[[#This Row],[COSTO]]</f>
        <v>267000</v>
      </c>
      <c r="E276" s="90">
        <v>50</v>
      </c>
      <c r="F276" s="97" t="s">
        <v>568</v>
      </c>
    </row>
    <row r="277" spans="1:6" ht="30" x14ac:dyDescent="0.25">
      <c r="A277" s="2" t="s">
        <v>278</v>
      </c>
      <c r="B277" s="62">
        <v>3</v>
      </c>
      <c r="C277" s="68">
        <v>2440</v>
      </c>
      <c r="D277" s="68">
        <f>Tabla4[[#This Row],[CANTIDAD]]*Tabla4[[#This Row],[COSTO]]</f>
        <v>7320</v>
      </c>
      <c r="E277" s="89">
        <v>3500</v>
      </c>
      <c r="F277" s="98" t="s">
        <v>568</v>
      </c>
    </row>
    <row r="278" spans="1:6" ht="16.5" x14ac:dyDescent="0.25">
      <c r="A278" s="2" t="s">
        <v>279</v>
      </c>
      <c r="B278" s="62">
        <v>100</v>
      </c>
      <c r="C278" s="68">
        <v>10100</v>
      </c>
      <c r="D278" s="68">
        <f>Tabla4[[#This Row],[CANTIDAD]]*Tabla4[[#This Row],[COSTO]]</f>
        <v>1010000</v>
      </c>
      <c r="E278" s="90">
        <v>150</v>
      </c>
      <c r="F278" s="97" t="s">
        <v>568</v>
      </c>
    </row>
    <row r="279" spans="1:6" ht="30" x14ac:dyDescent="0.25">
      <c r="A279" s="2" t="s">
        <v>280</v>
      </c>
      <c r="B279" s="62">
        <v>10</v>
      </c>
      <c r="C279" s="68">
        <v>4980</v>
      </c>
      <c r="D279" s="68">
        <f>Tabla4[[#This Row],[CANTIDAD]]*Tabla4[[#This Row],[COSTO]]</f>
        <v>49800</v>
      </c>
      <c r="E279" s="90">
        <v>700</v>
      </c>
      <c r="F279" s="98" t="s">
        <v>568</v>
      </c>
    </row>
    <row r="280" spans="1:6" ht="16.5" x14ac:dyDescent="0.25">
      <c r="A280" s="2" t="s">
        <v>281</v>
      </c>
      <c r="B280" s="62">
        <v>5</v>
      </c>
      <c r="C280" s="68">
        <v>495</v>
      </c>
      <c r="D280" s="68">
        <f>Tabla4[[#This Row],[CANTIDAD]]*Tabla4[[#This Row],[COSTO]]</f>
        <v>2475</v>
      </c>
      <c r="E280" s="90">
        <v>700</v>
      </c>
      <c r="F280" s="97" t="s">
        <v>568</v>
      </c>
    </row>
    <row r="281" spans="1:6" ht="30" x14ac:dyDescent="0.25">
      <c r="A281" s="2" t="s">
        <v>282</v>
      </c>
      <c r="B281" s="62">
        <v>12</v>
      </c>
      <c r="C281" s="68">
        <v>9540</v>
      </c>
      <c r="D281" s="68">
        <f>Tabla4[[#This Row],[CANTIDAD]]*Tabla4[[#This Row],[COSTO]]</f>
        <v>114480</v>
      </c>
      <c r="E281" s="89">
        <v>1120</v>
      </c>
      <c r="F281" s="98" t="s">
        <v>568</v>
      </c>
    </row>
    <row r="282" spans="1:6" ht="16.5" x14ac:dyDescent="0.25">
      <c r="A282" s="2" t="s">
        <v>283</v>
      </c>
      <c r="B282" s="62">
        <v>20</v>
      </c>
      <c r="C282" s="68">
        <v>280</v>
      </c>
      <c r="D282" s="68">
        <f>Tabla4[[#This Row],[CANTIDAD]]*Tabla4[[#This Row],[COSTO]]</f>
        <v>5600</v>
      </c>
      <c r="E282" s="90">
        <v>400</v>
      </c>
      <c r="F282" s="97" t="s">
        <v>568</v>
      </c>
    </row>
    <row r="283" spans="1:6" ht="16.5" x14ac:dyDescent="0.25">
      <c r="A283" s="2" t="s">
        <v>284</v>
      </c>
      <c r="B283" s="62">
        <v>20</v>
      </c>
      <c r="C283" s="68">
        <v>280</v>
      </c>
      <c r="D283" s="68">
        <f>Tabla4[[#This Row],[CANTIDAD]]*Tabla4[[#This Row],[COSTO]]</f>
        <v>5600</v>
      </c>
      <c r="E283" s="90">
        <v>400</v>
      </c>
      <c r="F283" s="98" t="s">
        <v>568</v>
      </c>
    </row>
    <row r="284" spans="1:6" ht="16.5" x14ac:dyDescent="0.25">
      <c r="A284" s="2" t="s">
        <v>285</v>
      </c>
      <c r="B284" s="62">
        <v>10</v>
      </c>
      <c r="C284" s="68">
        <v>300</v>
      </c>
      <c r="D284" s="68">
        <f>Tabla4[[#This Row],[CANTIDAD]]*Tabla4[[#This Row],[COSTO]]</f>
        <v>3000</v>
      </c>
      <c r="E284" s="90">
        <v>450</v>
      </c>
      <c r="F284" s="97" t="s">
        <v>568</v>
      </c>
    </row>
    <row r="285" spans="1:6" ht="16.5" x14ac:dyDescent="0.25">
      <c r="A285" s="2" t="s">
        <v>286</v>
      </c>
      <c r="B285" s="62">
        <v>10</v>
      </c>
      <c r="C285" s="68">
        <v>230</v>
      </c>
      <c r="D285" s="68">
        <f>Tabla4[[#This Row],[CANTIDAD]]*Tabla4[[#This Row],[COSTO]]</f>
        <v>2300</v>
      </c>
      <c r="E285" s="90">
        <v>350</v>
      </c>
      <c r="F285" s="98" t="s">
        <v>568</v>
      </c>
    </row>
    <row r="286" spans="1:6" ht="16.5" x14ac:dyDescent="0.25">
      <c r="A286" s="2" t="s">
        <v>287</v>
      </c>
      <c r="B286" s="62">
        <v>10</v>
      </c>
      <c r="C286" s="68">
        <v>590</v>
      </c>
      <c r="D286" s="68">
        <f>Tabla4[[#This Row],[CANTIDAD]]*Tabla4[[#This Row],[COSTO]]</f>
        <v>5900</v>
      </c>
      <c r="E286" s="90">
        <v>850</v>
      </c>
      <c r="F286" s="97" t="s">
        <v>568</v>
      </c>
    </row>
    <row r="287" spans="1:6" ht="16.5" x14ac:dyDescent="0.25">
      <c r="A287" s="2" t="s">
        <v>288</v>
      </c>
      <c r="B287" s="62">
        <v>5</v>
      </c>
      <c r="C287" s="68">
        <v>1550</v>
      </c>
      <c r="D287" s="68">
        <f>Tabla4[[#This Row],[CANTIDAD]]*Tabla4[[#This Row],[COSTO]]</f>
        <v>7750</v>
      </c>
      <c r="E287" s="89">
        <v>2200</v>
      </c>
      <c r="F287" s="98" t="s">
        <v>568</v>
      </c>
    </row>
    <row r="288" spans="1:6" ht="30" x14ac:dyDescent="0.25">
      <c r="A288" s="2" t="s">
        <v>289</v>
      </c>
      <c r="B288" s="62">
        <v>4</v>
      </c>
      <c r="C288" s="68">
        <v>870</v>
      </c>
      <c r="D288" s="68">
        <f>Tabla4[[#This Row],[CANTIDAD]]*Tabla4[[#This Row],[COSTO]]</f>
        <v>3480</v>
      </c>
      <c r="E288" s="89">
        <v>1250</v>
      </c>
      <c r="F288" s="97" t="s">
        <v>568</v>
      </c>
    </row>
    <row r="289" spans="1:6" ht="30" x14ac:dyDescent="0.25">
      <c r="A289" s="2" t="s">
        <v>290</v>
      </c>
      <c r="B289" s="62">
        <v>10</v>
      </c>
      <c r="C289" s="68">
        <v>4980</v>
      </c>
      <c r="D289" s="68">
        <f>Tabla4[[#This Row],[CANTIDAD]]*Tabla4[[#This Row],[COSTO]]</f>
        <v>49800</v>
      </c>
      <c r="E289" s="90">
        <v>700</v>
      </c>
      <c r="F289" s="98" t="s">
        <v>568</v>
      </c>
    </row>
    <row r="290" spans="1:6" ht="16.5" x14ac:dyDescent="0.25">
      <c r="A290" s="2" t="s">
        <v>291</v>
      </c>
      <c r="B290" s="62">
        <v>4</v>
      </c>
      <c r="C290" s="68">
        <v>2290</v>
      </c>
      <c r="D290" s="68">
        <f>Tabla4[[#This Row],[CANTIDAD]]*Tabla4[[#This Row],[COSTO]]</f>
        <v>9160</v>
      </c>
      <c r="E290" s="89">
        <v>3200</v>
      </c>
      <c r="F290" s="97" t="s">
        <v>568</v>
      </c>
    </row>
    <row r="291" spans="1:6" ht="16.5" x14ac:dyDescent="0.25">
      <c r="A291" s="2" t="s">
        <v>5</v>
      </c>
      <c r="B291" s="62">
        <v>5</v>
      </c>
      <c r="C291" s="68">
        <v>1860</v>
      </c>
      <c r="D291" s="68">
        <f>Tabla4[[#This Row],[CANTIDAD]]*Tabla4[[#This Row],[COSTO]]</f>
        <v>9300</v>
      </c>
      <c r="E291" s="89">
        <v>2600</v>
      </c>
      <c r="F291" s="98" t="s">
        <v>568</v>
      </c>
    </row>
    <row r="292" spans="1:6" ht="30" x14ac:dyDescent="0.25">
      <c r="A292" s="2" t="s">
        <v>292</v>
      </c>
      <c r="B292" s="62">
        <v>5</v>
      </c>
      <c r="C292" s="68">
        <v>2500</v>
      </c>
      <c r="D292" s="68">
        <f>Tabla4[[#This Row],[CANTIDAD]]*Tabla4[[#This Row],[COSTO]]</f>
        <v>12500</v>
      </c>
      <c r="E292" s="89">
        <v>3500</v>
      </c>
      <c r="F292" s="97" t="s">
        <v>568</v>
      </c>
    </row>
    <row r="293" spans="1:6" ht="16.5" x14ac:dyDescent="0.25">
      <c r="A293" s="2" t="s">
        <v>293</v>
      </c>
      <c r="B293" s="62">
        <v>6</v>
      </c>
      <c r="C293" s="68">
        <v>1700</v>
      </c>
      <c r="D293" s="68">
        <f>Tabla4[[#This Row],[CANTIDAD]]*Tabla4[[#This Row],[COSTO]]</f>
        <v>10200</v>
      </c>
      <c r="E293" s="89">
        <v>2400</v>
      </c>
      <c r="F293" s="98" t="s">
        <v>568</v>
      </c>
    </row>
    <row r="294" spans="1:6" ht="30" x14ac:dyDescent="0.25">
      <c r="A294" s="2" t="s">
        <v>294</v>
      </c>
      <c r="B294" s="62">
        <v>6</v>
      </c>
      <c r="C294" s="68">
        <v>1310</v>
      </c>
      <c r="D294" s="68">
        <f>Tabla4[[#This Row],[CANTIDAD]]*Tabla4[[#This Row],[COSTO]]</f>
        <v>7860</v>
      </c>
      <c r="E294" s="90">
        <v>300</v>
      </c>
      <c r="F294" s="97" t="s">
        <v>568</v>
      </c>
    </row>
    <row r="295" spans="1:6" ht="16.5" x14ac:dyDescent="0.25">
      <c r="A295" s="2" t="s">
        <v>295</v>
      </c>
      <c r="B295" s="62">
        <v>12</v>
      </c>
      <c r="C295" s="68">
        <v>9380</v>
      </c>
      <c r="D295" s="68">
        <f>Tabla4[[#This Row],[CANTIDAD]]*Tabla4[[#This Row],[COSTO]]</f>
        <v>112560</v>
      </c>
      <c r="E295" s="89">
        <v>1100</v>
      </c>
      <c r="F295" s="98" t="s">
        <v>568</v>
      </c>
    </row>
    <row r="296" spans="1:6" ht="16.5" x14ac:dyDescent="0.25">
      <c r="A296" s="2" t="s">
        <v>245</v>
      </c>
      <c r="B296" s="62">
        <v>12</v>
      </c>
      <c r="C296" s="68">
        <v>4110</v>
      </c>
      <c r="D296" s="68">
        <f>Tabla4[[#This Row],[CANTIDAD]]*Tabla4[[#This Row],[COSTO]]</f>
        <v>49320</v>
      </c>
      <c r="E296" s="90">
        <v>500</v>
      </c>
      <c r="F296" s="97" t="s">
        <v>568</v>
      </c>
    </row>
    <row r="297" spans="1:6" ht="30" x14ac:dyDescent="0.25">
      <c r="A297" s="2" t="s">
        <v>296</v>
      </c>
      <c r="B297" s="62">
        <v>20</v>
      </c>
      <c r="C297" s="68">
        <v>4980</v>
      </c>
      <c r="D297" s="68">
        <f>Tabla4[[#This Row],[CANTIDAD]]*Tabla4[[#This Row],[COSTO]]</f>
        <v>99600</v>
      </c>
      <c r="E297" s="90">
        <v>700</v>
      </c>
      <c r="F297" s="98" t="s">
        <v>568</v>
      </c>
    </row>
    <row r="298" spans="1:6" ht="30" x14ac:dyDescent="0.25">
      <c r="A298" s="2" t="s">
        <v>297</v>
      </c>
      <c r="B298" s="62">
        <v>10</v>
      </c>
      <c r="C298" s="68">
        <v>11000</v>
      </c>
      <c r="D298" s="68">
        <f>Tabla4[[#This Row],[CANTIDAD]]*Tabla4[[#This Row],[COSTO]]</f>
        <v>110000</v>
      </c>
      <c r="E298" s="89">
        <v>1600</v>
      </c>
      <c r="F298" s="97" t="s">
        <v>568</v>
      </c>
    </row>
    <row r="299" spans="1:6" ht="30" x14ac:dyDescent="0.25">
      <c r="A299" s="2" t="s">
        <v>298</v>
      </c>
      <c r="B299" s="62">
        <v>3</v>
      </c>
      <c r="C299" s="68">
        <v>2900</v>
      </c>
      <c r="D299" s="68">
        <f>Tabla4[[#This Row],[CANTIDAD]]*Tabla4[[#This Row],[COSTO]]</f>
        <v>8700</v>
      </c>
      <c r="E299" s="89">
        <v>4100</v>
      </c>
      <c r="F299" s="98" t="s">
        <v>568</v>
      </c>
    </row>
    <row r="300" spans="1:6" ht="30" x14ac:dyDescent="0.25">
      <c r="A300" s="5" t="s">
        <v>299</v>
      </c>
      <c r="B300" s="69">
        <v>12</v>
      </c>
      <c r="C300" s="70">
        <v>5450</v>
      </c>
      <c r="D300" s="70">
        <f>Tabla4[[#This Row],[CANTIDAD]]*Tabla4[[#This Row],[COSTO]]</f>
        <v>65400</v>
      </c>
      <c r="E300" s="91">
        <v>650</v>
      </c>
      <c r="F300" s="97" t="s">
        <v>568</v>
      </c>
    </row>
    <row r="301" spans="1:6" ht="30" x14ac:dyDescent="0.25">
      <c r="A301" s="2" t="s">
        <v>300</v>
      </c>
      <c r="B301" s="62">
        <v>5</v>
      </c>
      <c r="C301" s="68">
        <v>1200</v>
      </c>
      <c r="D301" s="68">
        <f>Tabla4[[#This Row],[CANTIDAD]]*Tabla4[[#This Row],[COSTO]]</f>
        <v>6000</v>
      </c>
      <c r="E301" s="89">
        <v>1700</v>
      </c>
      <c r="F301" s="98" t="s">
        <v>568</v>
      </c>
    </row>
    <row r="302" spans="1:6" ht="16.5" x14ac:dyDescent="0.25">
      <c r="A302" s="2" t="s">
        <v>301</v>
      </c>
      <c r="B302" s="62">
        <v>6</v>
      </c>
      <c r="C302" s="68">
        <v>1400</v>
      </c>
      <c r="D302" s="68">
        <f>Tabla4[[#This Row],[CANTIDAD]]*Tabla4[[#This Row],[COSTO]]</f>
        <v>8400</v>
      </c>
      <c r="E302" s="89">
        <v>2000</v>
      </c>
      <c r="F302" s="97" t="s">
        <v>568</v>
      </c>
    </row>
    <row r="303" spans="1:6" ht="30" x14ac:dyDescent="0.25">
      <c r="A303" s="2" t="s">
        <v>299</v>
      </c>
      <c r="B303" s="62">
        <v>24</v>
      </c>
      <c r="C303" s="68">
        <v>5450</v>
      </c>
      <c r="D303" s="68">
        <f>Tabla4[[#This Row],[CANTIDAD]]*Tabla4[[#This Row],[COSTO]]</f>
        <v>130800</v>
      </c>
      <c r="E303" s="90">
        <v>650</v>
      </c>
      <c r="F303" s="98" t="s">
        <v>568</v>
      </c>
    </row>
    <row r="304" spans="1:6" ht="16.5" x14ac:dyDescent="0.25">
      <c r="A304" s="2" t="s">
        <v>554</v>
      </c>
      <c r="B304" s="62">
        <v>10</v>
      </c>
      <c r="C304" s="68">
        <v>540</v>
      </c>
      <c r="D304" s="68">
        <f>Tabla4[[#This Row],[CANTIDAD]]*Tabla4[[#This Row],[COSTO]]</f>
        <v>5400</v>
      </c>
      <c r="E304" s="90">
        <v>750</v>
      </c>
      <c r="F304" s="97" t="s">
        <v>568</v>
      </c>
    </row>
    <row r="305" spans="1:6" ht="16.5" x14ac:dyDescent="0.25">
      <c r="A305" s="2" t="s">
        <v>552</v>
      </c>
      <c r="B305" s="62">
        <v>6</v>
      </c>
      <c r="C305" s="68">
        <v>970</v>
      </c>
      <c r="D305" s="68">
        <f>Tabla4[[#This Row],[CANTIDAD]]*Tabla4[[#This Row],[COSTO]]</f>
        <v>5820</v>
      </c>
      <c r="E305" s="89">
        <v>1400</v>
      </c>
      <c r="F305" s="98" t="s">
        <v>568</v>
      </c>
    </row>
    <row r="306" spans="1:6" ht="30" x14ac:dyDescent="0.25">
      <c r="A306" s="2" t="s">
        <v>294</v>
      </c>
      <c r="B306" s="62">
        <v>24</v>
      </c>
      <c r="C306" s="68">
        <v>1310</v>
      </c>
      <c r="D306" s="68">
        <f>Tabla4[[#This Row],[CANTIDAD]]*Tabla4[[#This Row],[COSTO]]</f>
        <v>31440</v>
      </c>
      <c r="E306" s="90">
        <v>350</v>
      </c>
      <c r="F306" s="97" t="s">
        <v>568</v>
      </c>
    </row>
    <row r="307" spans="1:6" ht="16.5" x14ac:dyDescent="0.25">
      <c r="A307" s="2" t="s">
        <v>303</v>
      </c>
      <c r="B307" s="62">
        <v>15</v>
      </c>
      <c r="C307" s="68">
        <v>1000</v>
      </c>
      <c r="D307" s="68">
        <f>Tabla4[[#This Row],[CANTIDAD]]*Tabla4[[#This Row],[COSTO]]</f>
        <v>15000</v>
      </c>
      <c r="E307" s="89">
        <v>1400</v>
      </c>
      <c r="F307" s="98" t="s">
        <v>568</v>
      </c>
    </row>
    <row r="308" spans="1:6" ht="16.5" x14ac:dyDescent="0.25">
      <c r="A308" s="2" t="s">
        <v>304</v>
      </c>
      <c r="B308" s="62">
        <v>3</v>
      </c>
      <c r="C308" s="68">
        <v>1130</v>
      </c>
      <c r="D308" s="68">
        <f>Tabla4[[#This Row],[CANTIDAD]]*Tabla4[[#This Row],[COSTO]]</f>
        <v>3390</v>
      </c>
      <c r="E308" s="89">
        <v>1600</v>
      </c>
      <c r="F308" s="97" t="s">
        <v>569</v>
      </c>
    </row>
    <row r="309" spans="1:6" ht="30" x14ac:dyDescent="0.25">
      <c r="A309" s="2" t="s">
        <v>305</v>
      </c>
      <c r="B309" s="62">
        <v>2</v>
      </c>
      <c r="C309" s="68">
        <v>2600</v>
      </c>
      <c r="D309" s="68">
        <f>Tabla4[[#This Row],[CANTIDAD]]*Tabla4[[#This Row],[COSTO]]</f>
        <v>5200</v>
      </c>
      <c r="E309" s="89">
        <v>3650</v>
      </c>
      <c r="F309" s="98" t="s">
        <v>568</v>
      </c>
    </row>
    <row r="310" spans="1:6" ht="30" x14ac:dyDescent="0.25">
      <c r="A310" s="2" t="s">
        <v>306</v>
      </c>
      <c r="B310" s="62">
        <v>10</v>
      </c>
      <c r="C310" s="68">
        <v>11000</v>
      </c>
      <c r="D310" s="68">
        <f>Tabla4[[#This Row],[CANTIDAD]]*Tabla4[[#This Row],[COSTO]]</f>
        <v>110000</v>
      </c>
      <c r="E310" s="89">
        <v>1600</v>
      </c>
      <c r="F310" s="97" t="s">
        <v>568</v>
      </c>
    </row>
    <row r="311" spans="1:6" ht="30" x14ac:dyDescent="0.25">
      <c r="A311" s="2" t="s">
        <v>297</v>
      </c>
      <c r="B311" s="62">
        <v>30</v>
      </c>
      <c r="C311" s="68">
        <v>11000</v>
      </c>
      <c r="D311" s="68">
        <f>Tabla4[[#This Row],[CANTIDAD]]*Tabla4[[#This Row],[COSTO]]</f>
        <v>330000</v>
      </c>
      <c r="E311" s="89">
        <v>1600</v>
      </c>
      <c r="F311" s="98" t="s">
        <v>568</v>
      </c>
    </row>
    <row r="312" spans="1:6" ht="30" x14ac:dyDescent="0.25">
      <c r="A312" s="2" t="s">
        <v>307</v>
      </c>
      <c r="B312" s="62">
        <v>10</v>
      </c>
      <c r="C312" s="68">
        <v>11000</v>
      </c>
      <c r="D312" s="68">
        <f>Tabla4[[#This Row],[CANTIDAD]]*Tabla4[[#This Row],[COSTO]]</f>
        <v>110000</v>
      </c>
      <c r="E312" s="89">
        <v>1600</v>
      </c>
      <c r="F312" s="97" t="s">
        <v>569</v>
      </c>
    </row>
    <row r="313" spans="1:6" ht="16.5" x14ac:dyDescent="0.25">
      <c r="A313" s="2" t="s">
        <v>308</v>
      </c>
      <c r="B313" s="62">
        <v>3</v>
      </c>
      <c r="C313" s="68">
        <v>860</v>
      </c>
      <c r="D313" s="68">
        <f>Tabla4[[#This Row],[CANTIDAD]]*Tabla4[[#This Row],[COSTO]]</f>
        <v>2580</v>
      </c>
      <c r="E313" s="89">
        <v>1200</v>
      </c>
      <c r="F313" s="98" t="s">
        <v>568</v>
      </c>
    </row>
    <row r="314" spans="1:6" ht="30" x14ac:dyDescent="0.25">
      <c r="A314" s="2" t="s">
        <v>309</v>
      </c>
      <c r="B314" s="62">
        <v>5</v>
      </c>
      <c r="C314" s="68">
        <v>1080</v>
      </c>
      <c r="D314" s="68">
        <f>Tabla4[[#This Row],[CANTIDAD]]*Tabla4[[#This Row],[COSTO]]</f>
        <v>5400</v>
      </c>
      <c r="E314" s="89">
        <v>1550</v>
      </c>
      <c r="F314" s="97" t="s">
        <v>569</v>
      </c>
    </row>
    <row r="315" spans="1:6" ht="16.5" x14ac:dyDescent="0.25">
      <c r="A315" s="4" t="s">
        <v>310</v>
      </c>
      <c r="B315" s="62">
        <v>5</v>
      </c>
      <c r="C315" s="71">
        <v>380</v>
      </c>
      <c r="D315" s="71">
        <f>Tabla4[[#This Row],[CANTIDAD]]*Tabla4[[#This Row],[COSTO]]</f>
        <v>1900</v>
      </c>
      <c r="E315" s="90">
        <v>550</v>
      </c>
      <c r="F315" s="98" t="s">
        <v>568</v>
      </c>
    </row>
    <row r="316" spans="1:6" ht="16.5" x14ac:dyDescent="0.25">
      <c r="A316" s="2" t="s">
        <v>311</v>
      </c>
      <c r="B316" s="61">
        <v>1</v>
      </c>
      <c r="C316" s="6"/>
      <c r="D316" s="68">
        <f>Tabla4[[#This Row],[CANTIDAD]]*Tabla4[[#This Row],[COSTO]]</f>
        <v>0</v>
      </c>
      <c r="E316" s="92"/>
      <c r="F316" s="97" t="s">
        <v>568</v>
      </c>
    </row>
    <row r="317" spans="1:6" ht="16.5" x14ac:dyDescent="0.25">
      <c r="A317" s="2" t="s">
        <v>312</v>
      </c>
      <c r="B317" s="62">
        <v>30</v>
      </c>
      <c r="C317" s="68">
        <v>990</v>
      </c>
      <c r="D317" s="68">
        <f>Tabla4[[#This Row],[CANTIDAD]]*Tabla4[[#This Row],[COSTO]]</f>
        <v>29700</v>
      </c>
      <c r="E317" s="89">
        <v>1500</v>
      </c>
      <c r="F317" s="98" t="s">
        <v>568</v>
      </c>
    </row>
    <row r="318" spans="1:6" ht="16.5" x14ac:dyDescent="0.25">
      <c r="A318" s="2" t="s">
        <v>313</v>
      </c>
      <c r="B318" s="62">
        <v>10</v>
      </c>
      <c r="C318" s="68">
        <v>779</v>
      </c>
      <c r="D318" s="68">
        <f>Tabla4[[#This Row],[CANTIDAD]]*Tabla4[[#This Row],[COSTO]]</f>
        <v>7790</v>
      </c>
      <c r="E318" s="89">
        <v>1100</v>
      </c>
      <c r="F318" s="97" t="s">
        <v>568</v>
      </c>
    </row>
    <row r="319" spans="1:6" ht="16.5" x14ac:dyDescent="0.25">
      <c r="A319" s="2" t="s">
        <v>314</v>
      </c>
      <c r="B319" s="62">
        <v>10</v>
      </c>
      <c r="C319" s="68">
        <v>1036</v>
      </c>
      <c r="D319" s="68">
        <f>Tabla4[[#This Row],[CANTIDAD]]*Tabla4[[#This Row],[COSTO]]</f>
        <v>10360</v>
      </c>
      <c r="E319" s="89">
        <v>1500</v>
      </c>
      <c r="F319" s="98" t="s">
        <v>568</v>
      </c>
    </row>
    <row r="320" spans="1:6" ht="16.5" x14ac:dyDescent="0.25">
      <c r="A320" s="2" t="s">
        <v>315</v>
      </c>
      <c r="B320" s="62">
        <v>6</v>
      </c>
      <c r="C320" s="68">
        <v>1250</v>
      </c>
      <c r="D320" s="68">
        <f>Tabla4[[#This Row],[CANTIDAD]]*Tabla4[[#This Row],[COSTO]]</f>
        <v>7500</v>
      </c>
      <c r="E320" s="89">
        <v>1800</v>
      </c>
      <c r="F320" s="97" t="s">
        <v>568</v>
      </c>
    </row>
    <row r="321" spans="1:6" ht="16.5" x14ac:dyDescent="0.25">
      <c r="A321" s="2" t="s">
        <v>316</v>
      </c>
      <c r="B321" s="62">
        <v>3</v>
      </c>
      <c r="C321" s="68">
        <v>1355</v>
      </c>
      <c r="D321" s="68">
        <f>Tabla4[[#This Row],[CANTIDAD]]*Tabla4[[#This Row],[COSTO]]</f>
        <v>4065</v>
      </c>
      <c r="E321" s="89">
        <v>1900</v>
      </c>
      <c r="F321" s="98" t="s">
        <v>569</v>
      </c>
    </row>
    <row r="322" spans="1:6" ht="16.5" x14ac:dyDescent="0.25">
      <c r="A322" s="2" t="s">
        <v>317</v>
      </c>
      <c r="B322" s="62">
        <v>8</v>
      </c>
      <c r="C322" s="68">
        <v>702</v>
      </c>
      <c r="D322" s="68">
        <f>Tabla4[[#This Row],[CANTIDAD]]*Tabla4[[#This Row],[COSTO]]</f>
        <v>5616</v>
      </c>
      <c r="E322" s="89">
        <v>1000</v>
      </c>
      <c r="F322" s="97" t="s">
        <v>568</v>
      </c>
    </row>
    <row r="323" spans="1:6" ht="16.5" x14ac:dyDescent="0.25">
      <c r="A323" s="2" t="s">
        <v>318</v>
      </c>
      <c r="B323" s="62">
        <v>5</v>
      </c>
      <c r="C323" s="68">
        <v>1195</v>
      </c>
      <c r="D323" s="68">
        <f>Tabla4[[#This Row],[CANTIDAD]]*Tabla4[[#This Row],[COSTO]]</f>
        <v>5975</v>
      </c>
      <c r="E323" s="89">
        <v>1700</v>
      </c>
      <c r="F323" s="98" t="s">
        <v>568</v>
      </c>
    </row>
    <row r="324" spans="1:6" ht="16.5" x14ac:dyDescent="0.25">
      <c r="A324" s="2" t="s">
        <v>319</v>
      </c>
      <c r="B324" s="62">
        <v>8</v>
      </c>
      <c r="C324" s="68">
        <v>711</v>
      </c>
      <c r="D324" s="68">
        <f>Tabla4[[#This Row],[CANTIDAD]]*Tabla4[[#This Row],[COSTO]]</f>
        <v>5688</v>
      </c>
      <c r="E324" s="89">
        <v>1000</v>
      </c>
      <c r="F324" s="97" t="s">
        <v>568</v>
      </c>
    </row>
    <row r="325" spans="1:6" ht="16.5" x14ac:dyDescent="0.25">
      <c r="A325" s="2" t="s">
        <v>320</v>
      </c>
      <c r="B325" s="62">
        <v>42</v>
      </c>
      <c r="C325" s="68">
        <v>490</v>
      </c>
      <c r="D325" s="68">
        <f>Tabla4[[#This Row],[CANTIDAD]]*Tabla4[[#This Row],[COSTO]]</f>
        <v>20580</v>
      </c>
      <c r="E325" s="90">
        <v>700</v>
      </c>
      <c r="F325" s="98" t="s">
        <v>568</v>
      </c>
    </row>
    <row r="326" spans="1:6" ht="16.5" x14ac:dyDescent="0.25">
      <c r="A326" s="2" t="s">
        <v>321</v>
      </c>
      <c r="B326" s="62">
        <v>5</v>
      </c>
      <c r="C326" s="68">
        <v>590</v>
      </c>
      <c r="D326" s="68">
        <f>Tabla4[[#This Row],[CANTIDAD]]*Tabla4[[#This Row],[COSTO]]</f>
        <v>2950</v>
      </c>
      <c r="E326" s="90">
        <v>850</v>
      </c>
      <c r="F326" s="97" t="s">
        <v>568</v>
      </c>
    </row>
    <row r="327" spans="1:6" ht="16.5" x14ac:dyDescent="0.25">
      <c r="A327" s="2" t="s">
        <v>322</v>
      </c>
      <c r="B327" s="62">
        <v>25</v>
      </c>
      <c r="C327" s="68">
        <v>296</v>
      </c>
      <c r="D327" s="68">
        <f>Tabla4[[#This Row],[CANTIDAD]]*Tabla4[[#This Row],[COSTO]]</f>
        <v>7400</v>
      </c>
      <c r="E327" s="90">
        <v>450</v>
      </c>
      <c r="F327" s="98" t="s">
        <v>568</v>
      </c>
    </row>
    <row r="328" spans="1:6" ht="16.5" x14ac:dyDescent="0.25">
      <c r="A328" s="2" t="s">
        <v>323</v>
      </c>
      <c r="B328" s="62">
        <v>8</v>
      </c>
      <c r="C328" s="68">
        <v>326</v>
      </c>
      <c r="D328" s="68">
        <f>Tabla4[[#This Row],[CANTIDAD]]*Tabla4[[#This Row],[COSTO]]</f>
        <v>2608</v>
      </c>
      <c r="E328" s="90">
        <v>460</v>
      </c>
      <c r="F328" s="97" t="s">
        <v>568</v>
      </c>
    </row>
    <row r="329" spans="1:6" ht="16.5" x14ac:dyDescent="0.25">
      <c r="A329" s="2" t="s">
        <v>324</v>
      </c>
      <c r="B329" s="62">
        <v>15</v>
      </c>
      <c r="C329" s="68">
        <v>284</v>
      </c>
      <c r="D329" s="68">
        <f>Tabla4[[#This Row],[CANTIDAD]]*Tabla4[[#This Row],[COSTO]]</f>
        <v>4260</v>
      </c>
      <c r="E329" s="90">
        <v>400</v>
      </c>
      <c r="F329" s="98" t="s">
        <v>568</v>
      </c>
    </row>
    <row r="330" spans="1:6" ht="16.5" x14ac:dyDescent="0.25">
      <c r="A330" s="2" t="s">
        <v>325</v>
      </c>
      <c r="B330" s="62">
        <v>15</v>
      </c>
      <c r="C330" s="68">
        <v>171</v>
      </c>
      <c r="D330" s="68">
        <f>Tabla4[[#This Row],[CANTIDAD]]*Tabla4[[#This Row],[COSTO]]</f>
        <v>2565</v>
      </c>
      <c r="E330" s="90">
        <v>300</v>
      </c>
      <c r="F330" s="97" t="s">
        <v>568</v>
      </c>
    </row>
    <row r="331" spans="1:6" ht="16.5" x14ac:dyDescent="0.25">
      <c r="A331" s="2" t="s">
        <v>326</v>
      </c>
      <c r="B331" s="62">
        <v>92</v>
      </c>
      <c r="C331" s="68">
        <v>549</v>
      </c>
      <c r="D331" s="68">
        <f>Tabla4[[#This Row],[CANTIDAD]]*Tabla4[[#This Row],[COSTO]]</f>
        <v>50508</v>
      </c>
      <c r="E331" s="90">
        <v>800</v>
      </c>
      <c r="F331" s="98" t="s">
        <v>568</v>
      </c>
    </row>
    <row r="332" spans="1:6" ht="16.5" x14ac:dyDescent="0.25">
      <c r="A332" s="2" t="s">
        <v>327</v>
      </c>
      <c r="B332" s="62">
        <v>92</v>
      </c>
      <c r="C332" s="68">
        <v>499</v>
      </c>
      <c r="D332" s="68">
        <f>Tabla4[[#This Row],[CANTIDAD]]*Tabla4[[#This Row],[COSTO]]</f>
        <v>45908</v>
      </c>
      <c r="E332" s="90">
        <v>700</v>
      </c>
      <c r="F332" s="97" t="s">
        <v>568</v>
      </c>
    </row>
    <row r="333" spans="1:6" ht="16.5" x14ac:dyDescent="0.25">
      <c r="A333" s="2" t="s">
        <v>328</v>
      </c>
      <c r="B333" s="62">
        <v>32</v>
      </c>
      <c r="C333" s="68">
        <v>549</v>
      </c>
      <c r="D333" s="68">
        <f>Tabla4[[#This Row],[CANTIDAD]]*Tabla4[[#This Row],[COSTO]]</f>
        <v>17568</v>
      </c>
      <c r="E333" s="90">
        <v>800</v>
      </c>
      <c r="F333" s="98" t="s">
        <v>568</v>
      </c>
    </row>
    <row r="334" spans="1:6" ht="16.5" x14ac:dyDescent="0.25">
      <c r="A334" s="2" t="s">
        <v>329</v>
      </c>
      <c r="B334" s="62">
        <v>32</v>
      </c>
      <c r="C334" s="68">
        <v>499</v>
      </c>
      <c r="D334" s="68">
        <f>Tabla4[[#This Row],[CANTIDAD]]*Tabla4[[#This Row],[COSTO]]</f>
        <v>15968</v>
      </c>
      <c r="E334" s="90">
        <v>700</v>
      </c>
      <c r="F334" s="97" t="s">
        <v>568</v>
      </c>
    </row>
    <row r="335" spans="1:6" ht="16.5" x14ac:dyDescent="0.25">
      <c r="A335" s="2" t="s">
        <v>330</v>
      </c>
      <c r="B335" s="62">
        <v>7</v>
      </c>
      <c r="C335" s="68">
        <v>1990</v>
      </c>
      <c r="D335" s="68">
        <f>Tabla4[[#This Row],[CANTIDAD]]*Tabla4[[#This Row],[COSTO]]</f>
        <v>13930</v>
      </c>
      <c r="E335" s="89">
        <v>2800</v>
      </c>
      <c r="F335" s="98" t="s">
        <v>568</v>
      </c>
    </row>
    <row r="336" spans="1:6" ht="16.5" x14ac:dyDescent="0.25">
      <c r="A336" s="2" t="s">
        <v>331</v>
      </c>
      <c r="B336" s="62">
        <v>3</v>
      </c>
      <c r="C336" s="68">
        <v>1700</v>
      </c>
      <c r="D336" s="68">
        <f>Tabla4[[#This Row],[CANTIDAD]]*Tabla4[[#This Row],[COSTO]]</f>
        <v>5100</v>
      </c>
      <c r="E336" s="89">
        <v>2400</v>
      </c>
      <c r="F336" s="97" t="s">
        <v>568</v>
      </c>
    </row>
    <row r="337" spans="1:6" ht="16.5" x14ac:dyDescent="0.25">
      <c r="A337" s="2" t="s">
        <v>332</v>
      </c>
      <c r="B337" s="62">
        <v>5</v>
      </c>
      <c r="C337" s="68">
        <v>775</v>
      </c>
      <c r="D337" s="68">
        <f>Tabla4[[#This Row],[CANTIDAD]]*Tabla4[[#This Row],[COSTO]]</f>
        <v>3875</v>
      </c>
      <c r="E337" s="89">
        <v>1100</v>
      </c>
      <c r="F337" s="98" t="s">
        <v>568</v>
      </c>
    </row>
    <row r="338" spans="1:6" ht="16.5" x14ac:dyDescent="0.25">
      <c r="A338" s="2" t="s">
        <v>333</v>
      </c>
      <c r="B338" s="62">
        <v>2</v>
      </c>
      <c r="C338" s="68">
        <v>2000</v>
      </c>
      <c r="D338" s="68">
        <f>Tabla4[[#This Row],[CANTIDAD]]*Tabla4[[#This Row],[COSTO]]</f>
        <v>4000</v>
      </c>
      <c r="E338" s="89">
        <v>2800</v>
      </c>
      <c r="F338" s="97" t="s">
        <v>568</v>
      </c>
    </row>
    <row r="339" spans="1:6" ht="16.5" x14ac:dyDescent="0.25">
      <c r="A339" s="2" t="s">
        <v>334</v>
      </c>
      <c r="B339" s="62">
        <v>9</v>
      </c>
      <c r="C339" s="68">
        <v>400</v>
      </c>
      <c r="D339" s="68">
        <f>Tabla4[[#This Row],[CANTIDAD]]*Tabla4[[#This Row],[COSTO]]</f>
        <v>3600</v>
      </c>
      <c r="E339" s="90">
        <v>800</v>
      </c>
      <c r="F339" s="98" t="s">
        <v>568</v>
      </c>
    </row>
    <row r="340" spans="1:6" ht="16.5" x14ac:dyDescent="0.25">
      <c r="A340" s="2" t="s">
        <v>335</v>
      </c>
      <c r="B340" s="62">
        <v>6</v>
      </c>
      <c r="C340" s="68">
        <v>750</v>
      </c>
      <c r="D340" s="68">
        <f>Tabla4[[#This Row],[CANTIDAD]]*Tabla4[[#This Row],[COSTO]]</f>
        <v>4500</v>
      </c>
      <c r="E340" s="89">
        <v>1100</v>
      </c>
      <c r="F340" s="97" t="s">
        <v>568</v>
      </c>
    </row>
    <row r="341" spans="1:6" ht="16.5" x14ac:dyDescent="0.25">
      <c r="A341" s="2" t="s">
        <v>336</v>
      </c>
      <c r="B341" s="62">
        <v>4</v>
      </c>
      <c r="C341" s="68">
        <v>846</v>
      </c>
      <c r="D341" s="68">
        <f>Tabla4[[#This Row],[CANTIDAD]]*Tabla4[[#This Row],[COSTO]]</f>
        <v>3384</v>
      </c>
      <c r="E341" s="89">
        <v>1200</v>
      </c>
      <c r="F341" s="98" t="s">
        <v>568</v>
      </c>
    </row>
    <row r="342" spans="1:6" ht="16.5" x14ac:dyDescent="0.25">
      <c r="A342" s="2" t="s">
        <v>337</v>
      </c>
      <c r="B342" s="62">
        <v>15</v>
      </c>
      <c r="C342" s="68">
        <v>846</v>
      </c>
      <c r="D342" s="68">
        <f>Tabla4[[#This Row],[CANTIDAD]]*Tabla4[[#This Row],[COSTO]]</f>
        <v>12690</v>
      </c>
      <c r="E342" s="89">
        <v>1200</v>
      </c>
      <c r="F342" s="97" t="s">
        <v>569</v>
      </c>
    </row>
    <row r="343" spans="1:6" ht="16.5" x14ac:dyDescent="0.25">
      <c r="A343" s="2" t="s">
        <v>338</v>
      </c>
      <c r="B343" s="62">
        <v>4</v>
      </c>
      <c r="C343" s="68">
        <v>895</v>
      </c>
      <c r="D343" s="68">
        <f>Tabla4[[#This Row],[CANTIDAD]]*Tabla4[[#This Row],[COSTO]]</f>
        <v>3580</v>
      </c>
      <c r="E343" s="89">
        <v>1300</v>
      </c>
      <c r="F343" s="98" t="s">
        <v>568</v>
      </c>
    </row>
    <row r="344" spans="1:6" ht="16.5" x14ac:dyDescent="0.25">
      <c r="A344" s="2" t="s">
        <v>339</v>
      </c>
      <c r="B344" s="62">
        <v>6</v>
      </c>
      <c r="C344" s="68">
        <v>2655</v>
      </c>
      <c r="D344" s="68">
        <f>Tabla4[[#This Row],[CANTIDAD]]*Tabla4[[#This Row],[COSTO]]</f>
        <v>15930</v>
      </c>
      <c r="E344" s="89">
        <v>3800</v>
      </c>
      <c r="F344" s="97" t="s">
        <v>568</v>
      </c>
    </row>
    <row r="345" spans="1:6" ht="16.5" x14ac:dyDescent="0.25">
      <c r="A345" s="2" t="s">
        <v>340</v>
      </c>
      <c r="B345" s="62">
        <v>10</v>
      </c>
      <c r="C345" s="68">
        <v>251</v>
      </c>
      <c r="D345" s="68">
        <f>Tabla4[[#This Row],[CANTIDAD]]*Tabla4[[#This Row],[COSTO]]</f>
        <v>2510</v>
      </c>
      <c r="E345" s="90">
        <v>400</v>
      </c>
      <c r="F345" s="98" t="s">
        <v>568</v>
      </c>
    </row>
    <row r="346" spans="1:6" ht="16.5" x14ac:dyDescent="0.25">
      <c r="A346" s="2" t="s">
        <v>341</v>
      </c>
      <c r="B346" s="62">
        <v>15</v>
      </c>
      <c r="C346" s="68">
        <v>750</v>
      </c>
      <c r="D346" s="68">
        <f>Tabla4[[#This Row],[CANTIDAD]]*Tabla4[[#This Row],[COSTO]]</f>
        <v>11250</v>
      </c>
      <c r="E346" s="89">
        <v>1100</v>
      </c>
      <c r="F346" s="97" t="s">
        <v>568</v>
      </c>
    </row>
    <row r="347" spans="1:6" ht="16.5" x14ac:dyDescent="0.25">
      <c r="A347" s="2" t="s">
        <v>342</v>
      </c>
      <c r="B347" s="62">
        <v>36</v>
      </c>
      <c r="C347" s="68">
        <v>296</v>
      </c>
      <c r="D347" s="68">
        <f>Tabla4[[#This Row],[CANTIDAD]]*Tabla4[[#This Row],[COSTO]]</f>
        <v>10656</v>
      </c>
      <c r="E347" s="90">
        <v>500</v>
      </c>
      <c r="F347" s="98" t="s">
        <v>569</v>
      </c>
    </row>
    <row r="348" spans="1:6" ht="16.5" x14ac:dyDescent="0.25">
      <c r="A348" s="2" t="s">
        <v>343</v>
      </c>
      <c r="B348" s="62">
        <v>4</v>
      </c>
      <c r="C348" s="68">
        <v>655</v>
      </c>
      <c r="D348" s="68">
        <f>Tabla4[[#This Row],[CANTIDAD]]*Tabla4[[#This Row],[COSTO]]</f>
        <v>2620</v>
      </c>
      <c r="E348" s="89">
        <v>1000</v>
      </c>
      <c r="F348" s="97" t="s">
        <v>569</v>
      </c>
    </row>
    <row r="349" spans="1:6" ht="16.5" x14ac:dyDescent="0.25">
      <c r="A349" s="2" t="s">
        <v>344</v>
      </c>
      <c r="B349" s="62">
        <v>5</v>
      </c>
      <c r="C349" s="68">
        <v>795</v>
      </c>
      <c r="D349" s="68">
        <f>Tabla4[[#This Row],[CANTIDAD]]*Tabla4[[#This Row],[COSTO]]</f>
        <v>3975</v>
      </c>
      <c r="E349" s="89">
        <v>1200</v>
      </c>
      <c r="F349" s="98" t="s">
        <v>568</v>
      </c>
    </row>
    <row r="350" spans="1:6" ht="16.5" x14ac:dyDescent="0.25">
      <c r="A350" s="5" t="s">
        <v>345</v>
      </c>
      <c r="B350" s="69">
        <v>3</v>
      </c>
      <c r="C350" s="70">
        <v>4090</v>
      </c>
      <c r="D350" s="70">
        <f>Tabla4[[#This Row],[CANTIDAD]]*Tabla4[[#This Row],[COSTO]]</f>
        <v>12270</v>
      </c>
      <c r="E350" s="93">
        <v>5800</v>
      </c>
      <c r="F350" s="97" t="s">
        <v>568</v>
      </c>
    </row>
    <row r="351" spans="1:6" ht="16.5" x14ac:dyDescent="0.25">
      <c r="A351" s="2" t="s">
        <v>346</v>
      </c>
      <c r="B351" s="62">
        <v>4</v>
      </c>
      <c r="C351" s="68">
        <v>3990</v>
      </c>
      <c r="D351" s="68">
        <f>Tabla4[[#This Row],[CANTIDAD]]*Tabla4[[#This Row],[COSTO]]</f>
        <v>15960</v>
      </c>
      <c r="E351" s="94">
        <v>5600</v>
      </c>
      <c r="F351" s="98" t="s">
        <v>568</v>
      </c>
    </row>
    <row r="352" spans="1:6" ht="16.5" x14ac:dyDescent="0.25">
      <c r="A352" s="2" t="s">
        <v>347</v>
      </c>
      <c r="B352" s="62">
        <v>10</v>
      </c>
      <c r="C352" s="68">
        <v>257</v>
      </c>
      <c r="D352" s="68">
        <f>Tabla4[[#This Row],[CANTIDAD]]*Tabla4[[#This Row],[COSTO]]</f>
        <v>2570</v>
      </c>
      <c r="E352" s="95">
        <v>360</v>
      </c>
      <c r="F352" s="97" t="s">
        <v>568</v>
      </c>
    </row>
    <row r="353" spans="1:6" ht="16.5" x14ac:dyDescent="0.25">
      <c r="A353" s="2" t="s">
        <v>348</v>
      </c>
      <c r="B353" s="62">
        <v>12</v>
      </c>
      <c r="C353" s="68">
        <v>189</v>
      </c>
      <c r="D353" s="68">
        <f>Tabla4[[#This Row],[CANTIDAD]]*Tabla4[[#This Row],[COSTO]]</f>
        <v>2268</v>
      </c>
      <c r="E353" s="95">
        <v>300</v>
      </c>
      <c r="F353" s="98" t="s">
        <v>568</v>
      </c>
    </row>
    <row r="354" spans="1:6" ht="16.5" x14ac:dyDescent="0.25">
      <c r="A354" s="2" t="s">
        <v>348</v>
      </c>
      <c r="B354" s="62">
        <v>12</v>
      </c>
      <c r="C354" s="68">
        <v>195</v>
      </c>
      <c r="D354" s="68">
        <f>Tabla4[[#This Row],[CANTIDAD]]*Tabla4[[#This Row],[COSTO]]</f>
        <v>2340</v>
      </c>
      <c r="E354" s="95">
        <v>280</v>
      </c>
      <c r="F354" s="97" t="s">
        <v>568</v>
      </c>
    </row>
    <row r="355" spans="1:6" ht="16.5" x14ac:dyDescent="0.25">
      <c r="A355" s="2" t="s">
        <v>348</v>
      </c>
      <c r="B355" s="62">
        <v>12</v>
      </c>
      <c r="C355" s="68">
        <v>130</v>
      </c>
      <c r="D355" s="68">
        <f>Tabla4[[#This Row],[CANTIDAD]]*Tabla4[[#This Row],[COSTO]]</f>
        <v>1560</v>
      </c>
      <c r="E355" s="95">
        <v>190</v>
      </c>
      <c r="F355" s="98" t="s">
        <v>568</v>
      </c>
    </row>
    <row r="356" spans="1:6" ht="16.5" x14ac:dyDescent="0.25">
      <c r="A356" s="2" t="s">
        <v>349</v>
      </c>
      <c r="B356" s="62">
        <v>12</v>
      </c>
      <c r="C356" s="68">
        <v>189</v>
      </c>
      <c r="D356" s="68">
        <f>Tabla4[[#This Row],[CANTIDAD]]*Tabla4[[#This Row],[COSTO]]</f>
        <v>2268</v>
      </c>
      <c r="E356" s="95">
        <v>300</v>
      </c>
      <c r="F356" s="97" t="s">
        <v>568</v>
      </c>
    </row>
    <row r="357" spans="1:6" ht="16.5" x14ac:dyDescent="0.25">
      <c r="A357" s="2" t="s">
        <v>350</v>
      </c>
      <c r="B357" s="62">
        <v>3</v>
      </c>
      <c r="C357" s="68">
        <v>2985</v>
      </c>
      <c r="D357" s="68">
        <f>Tabla4[[#This Row],[CANTIDAD]]*Tabla4[[#This Row],[COSTO]]</f>
        <v>8955</v>
      </c>
      <c r="E357" s="94">
        <v>4200</v>
      </c>
      <c r="F357" s="98" t="s">
        <v>568</v>
      </c>
    </row>
    <row r="358" spans="1:6" ht="16.5" x14ac:dyDescent="0.25">
      <c r="A358" s="2" t="s">
        <v>564</v>
      </c>
      <c r="B358" s="62">
        <v>2</v>
      </c>
      <c r="C358" s="68">
        <v>3320</v>
      </c>
      <c r="D358" s="68">
        <f>Tabla4[[#This Row],[CANTIDAD]]*Tabla4[[#This Row],[COSTO]]</f>
        <v>6640</v>
      </c>
      <c r="E358" s="94">
        <v>4700</v>
      </c>
      <c r="F358" s="97" t="s">
        <v>568</v>
      </c>
    </row>
    <row r="359" spans="1:6" ht="16.5" x14ac:dyDescent="0.25">
      <c r="A359" s="2" t="s">
        <v>352</v>
      </c>
      <c r="B359" s="62">
        <v>10</v>
      </c>
      <c r="C359" s="68">
        <v>974</v>
      </c>
      <c r="D359" s="68">
        <f>Tabla4[[#This Row],[CANTIDAD]]*Tabla4[[#This Row],[COSTO]]</f>
        <v>9740</v>
      </c>
      <c r="E359" s="94">
        <v>1500</v>
      </c>
      <c r="F359" s="98" t="s">
        <v>568</v>
      </c>
    </row>
    <row r="360" spans="1:6" ht="16.5" x14ac:dyDescent="0.25">
      <c r="A360" s="2" t="s">
        <v>565</v>
      </c>
      <c r="B360" s="62">
        <v>10</v>
      </c>
      <c r="C360" s="68">
        <v>1800</v>
      </c>
      <c r="D360" s="68">
        <f>Tabla4[[#This Row],[CANTIDAD]]*Tabla4[[#This Row],[COSTO]]</f>
        <v>18000</v>
      </c>
      <c r="E360" s="94">
        <v>2600</v>
      </c>
      <c r="F360" s="97" t="s">
        <v>568</v>
      </c>
    </row>
    <row r="361" spans="1:6" ht="16.5" x14ac:dyDescent="0.25">
      <c r="A361" s="2" t="s">
        <v>354</v>
      </c>
      <c r="B361" s="62">
        <v>3</v>
      </c>
      <c r="C361" s="68">
        <v>700</v>
      </c>
      <c r="D361" s="68">
        <f>Tabla4[[#This Row],[CANTIDAD]]*Tabla4[[#This Row],[COSTO]]</f>
        <v>2100</v>
      </c>
      <c r="E361" s="94">
        <v>1000</v>
      </c>
      <c r="F361" s="98" t="s">
        <v>568</v>
      </c>
    </row>
    <row r="362" spans="1:6" ht="16.5" x14ac:dyDescent="0.25">
      <c r="A362" s="2" t="s">
        <v>355</v>
      </c>
      <c r="B362" s="62">
        <v>20</v>
      </c>
      <c r="C362" s="68">
        <v>113</v>
      </c>
      <c r="D362" s="68">
        <f>Tabla4[[#This Row],[CANTIDAD]]*Tabla4[[#This Row],[COSTO]]</f>
        <v>2260</v>
      </c>
      <c r="E362" s="95">
        <v>200</v>
      </c>
      <c r="F362" s="97" t="s">
        <v>568</v>
      </c>
    </row>
    <row r="363" spans="1:6" ht="16.5" x14ac:dyDescent="0.25">
      <c r="A363" s="2" t="s">
        <v>356</v>
      </c>
      <c r="B363" s="62">
        <v>5</v>
      </c>
      <c r="C363" s="68">
        <v>171</v>
      </c>
      <c r="D363" s="68">
        <f>Tabla4[[#This Row],[CANTIDAD]]*Tabla4[[#This Row],[COSTO]]</f>
        <v>855</v>
      </c>
      <c r="E363" s="95">
        <v>250</v>
      </c>
      <c r="F363" s="98" t="s">
        <v>568</v>
      </c>
    </row>
    <row r="364" spans="1:6" ht="16.5" x14ac:dyDescent="0.25">
      <c r="A364" s="2" t="s">
        <v>357</v>
      </c>
      <c r="B364" s="62">
        <v>12</v>
      </c>
      <c r="C364" s="68">
        <v>210</v>
      </c>
      <c r="D364" s="68">
        <f>Tabla4[[#This Row],[CANTIDAD]]*Tabla4[[#This Row],[COSTO]]</f>
        <v>2520</v>
      </c>
      <c r="E364" s="95">
        <v>550</v>
      </c>
      <c r="F364" s="97" t="s">
        <v>568</v>
      </c>
    </row>
    <row r="365" spans="1:6" ht="16.5" x14ac:dyDescent="0.25">
      <c r="A365" s="2" t="s">
        <v>358</v>
      </c>
      <c r="B365" s="62">
        <v>1</v>
      </c>
      <c r="C365" s="68">
        <v>1883</v>
      </c>
      <c r="D365" s="68">
        <f>Tabla4[[#This Row],[CANTIDAD]]*Tabla4[[#This Row],[COSTO]]</f>
        <v>1883</v>
      </c>
      <c r="E365" s="94">
        <v>2700</v>
      </c>
      <c r="F365" s="98" t="s">
        <v>568</v>
      </c>
    </row>
    <row r="366" spans="1:6" ht="16.5" x14ac:dyDescent="0.25">
      <c r="A366" s="2" t="s">
        <v>359</v>
      </c>
      <c r="B366" s="62">
        <v>1</v>
      </c>
      <c r="C366" s="68">
        <v>1150</v>
      </c>
      <c r="D366" s="68">
        <f>Tabla4[[#This Row],[CANTIDAD]]*Tabla4[[#This Row],[COSTO]]</f>
        <v>1150</v>
      </c>
      <c r="E366" s="94">
        <v>1650</v>
      </c>
      <c r="F366" s="97" t="s">
        <v>568</v>
      </c>
    </row>
    <row r="367" spans="1:6" ht="16.5" x14ac:dyDescent="0.25">
      <c r="A367" s="2" t="s">
        <v>360</v>
      </c>
      <c r="B367" s="62">
        <v>6</v>
      </c>
      <c r="C367" s="68">
        <v>1416</v>
      </c>
      <c r="D367" s="68">
        <f>Tabla4[[#This Row],[CANTIDAD]]*Tabla4[[#This Row],[COSTO]]</f>
        <v>8496</v>
      </c>
      <c r="E367" s="94">
        <v>2000</v>
      </c>
      <c r="F367" s="98" t="s">
        <v>568</v>
      </c>
    </row>
    <row r="368" spans="1:6" ht="16.5" x14ac:dyDescent="0.25">
      <c r="A368" s="2" t="s">
        <v>361</v>
      </c>
      <c r="B368" s="62">
        <v>3</v>
      </c>
      <c r="C368" s="68">
        <v>4600</v>
      </c>
      <c r="D368" s="68">
        <f>Tabla4[[#This Row],[CANTIDAD]]*Tabla4[[#This Row],[COSTO]]</f>
        <v>13800</v>
      </c>
      <c r="E368" s="94">
        <v>5500</v>
      </c>
      <c r="F368" s="97" t="s">
        <v>568</v>
      </c>
    </row>
    <row r="369" spans="1:6" ht="16.5" x14ac:dyDescent="0.25">
      <c r="A369" s="7" t="s">
        <v>566</v>
      </c>
      <c r="B369" s="62">
        <v>10</v>
      </c>
      <c r="C369" s="68">
        <v>342</v>
      </c>
      <c r="D369" s="68">
        <f>Tabla4[[#This Row],[CANTIDAD]]*Tabla4[[#This Row],[COSTO]]</f>
        <v>3420</v>
      </c>
      <c r="E369" s="95">
        <v>550</v>
      </c>
      <c r="F369" s="98" t="s">
        <v>568</v>
      </c>
    </row>
    <row r="370" spans="1:6" ht="16.5" x14ac:dyDescent="0.25">
      <c r="A370" s="2" t="s">
        <v>363</v>
      </c>
      <c r="B370" s="62">
        <v>5</v>
      </c>
      <c r="C370" s="68">
        <v>450</v>
      </c>
      <c r="D370" s="72">
        <f>Tabla4[[#This Row],[CANTIDAD]]*Tabla4[[#This Row],[COSTO]]</f>
        <v>2250</v>
      </c>
      <c r="E370" s="95">
        <v>650</v>
      </c>
      <c r="F370" s="97" t="s">
        <v>568</v>
      </c>
    </row>
    <row r="371" spans="1:6" ht="16.5" x14ac:dyDescent="0.25">
      <c r="A371" s="2" t="s">
        <v>364</v>
      </c>
      <c r="B371" s="62">
        <v>5</v>
      </c>
      <c r="C371" s="68">
        <v>450</v>
      </c>
      <c r="D371" s="72">
        <f>Tabla4[[#This Row],[CANTIDAD]]*Tabla4[[#This Row],[COSTO]]</f>
        <v>2250</v>
      </c>
      <c r="E371" s="95">
        <v>650</v>
      </c>
      <c r="F371" s="98" t="s">
        <v>568</v>
      </c>
    </row>
    <row r="372" spans="1:6" ht="16.5" x14ac:dyDescent="0.25">
      <c r="A372" s="2" t="s">
        <v>365</v>
      </c>
      <c r="B372" s="62">
        <v>5</v>
      </c>
      <c r="C372" s="72">
        <v>1030</v>
      </c>
      <c r="D372" s="72">
        <f>Tabla4[[#This Row],[CANTIDAD]]*Tabla4[[#This Row],[COSTO]]</f>
        <v>5150</v>
      </c>
      <c r="E372" s="94">
        <v>1500</v>
      </c>
      <c r="F372" s="97" t="s">
        <v>568</v>
      </c>
    </row>
    <row r="373" spans="1:6" ht="16.5" x14ac:dyDescent="0.25">
      <c r="A373" s="2" t="s">
        <v>366</v>
      </c>
      <c r="B373" s="62">
        <v>5</v>
      </c>
      <c r="C373" s="72">
        <v>1170</v>
      </c>
      <c r="D373" s="72">
        <f>Tabla4[[#This Row],[CANTIDAD]]*Tabla4[[#This Row],[COSTO]]</f>
        <v>5850</v>
      </c>
      <c r="E373" s="94">
        <v>1650</v>
      </c>
      <c r="F373" s="98" t="s">
        <v>568</v>
      </c>
    </row>
    <row r="374" spans="1:6" ht="16.5" x14ac:dyDescent="0.25">
      <c r="A374" s="2" t="s">
        <v>367</v>
      </c>
      <c r="B374" s="62">
        <v>5</v>
      </c>
      <c r="C374" s="72">
        <v>3410</v>
      </c>
      <c r="D374" s="72">
        <f>Tabla4[[#This Row],[CANTIDAD]]*Tabla4[[#This Row],[COSTO]]</f>
        <v>17050</v>
      </c>
      <c r="E374" s="94">
        <v>4800</v>
      </c>
      <c r="F374" s="97" t="s">
        <v>568</v>
      </c>
    </row>
    <row r="375" spans="1:6" ht="16.5" x14ac:dyDescent="0.25">
      <c r="A375" s="2" t="s">
        <v>368</v>
      </c>
      <c r="B375" s="62">
        <v>5</v>
      </c>
      <c r="C375" s="72">
        <v>2580</v>
      </c>
      <c r="D375" s="72">
        <f>Tabla4[[#This Row],[CANTIDAD]]*Tabla4[[#This Row],[COSTO]]</f>
        <v>12900</v>
      </c>
      <c r="E375" s="94">
        <v>3700</v>
      </c>
      <c r="F375" s="98" t="s">
        <v>568</v>
      </c>
    </row>
    <row r="376" spans="1:6" ht="16.5" x14ac:dyDescent="0.25">
      <c r="A376" s="2" t="s">
        <v>369</v>
      </c>
      <c r="B376" s="62">
        <v>5</v>
      </c>
      <c r="C376" s="72">
        <v>2730</v>
      </c>
      <c r="D376" s="72">
        <f>Tabla4[[#This Row],[CANTIDAD]]*Tabla4[[#This Row],[COSTO]]</f>
        <v>13650</v>
      </c>
      <c r="E376" s="94">
        <v>3900</v>
      </c>
      <c r="F376" s="97" t="s">
        <v>568</v>
      </c>
    </row>
    <row r="377" spans="1:6" ht="16.5" x14ac:dyDescent="0.25">
      <c r="A377" s="2" t="s">
        <v>370</v>
      </c>
      <c r="B377" s="62">
        <v>5</v>
      </c>
      <c r="C377" s="72">
        <v>2450</v>
      </c>
      <c r="D377" s="72">
        <f>Tabla4[[#This Row],[CANTIDAD]]*Tabla4[[#This Row],[COSTO]]</f>
        <v>12250</v>
      </c>
      <c r="E377" s="94">
        <v>3450</v>
      </c>
      <c r="F377" s="98" t="s">
        <v>568</v>
      </c>
    </row>
    <row r="378" spans="1:6" ht="16.5" x14ac:dyDescent="0.25">
      <c r="A378" s="2" t="s">
        <v>371</v>
      </c>
      <c r="B378" s="62">
        <v>5</v>
      </c>
      <c r="C378" s="68">
        <v>980</v>
      </c>
      <c r="D378" s="72">
        <f>Tabla4[[#This Row],[CANTIDAD]]*Tabla4[[#This Row],[COSTO]]</f>
        <v>4900</v>
      </c>
      <c r="E378" s="94">
        <v>1400</v>
      </c>
      <c r="F378" s="97" t="s">
        <v>568</v>
      </c>
    </row>
    <row r="379" spans="1:6" ht="16.5" x14ac:dyDescent="0.25">
      <c r="A379" s="2" t="s">
        <v>372</v>
      </c>
      <c r="B379" s="62">
        <v>5</v>
      </c>
      <c r="C379" s="72">
        <v>1100</v>
      </c>
      <c r="D379" s="72">
        <f>Tabla4[[#This Row],[CANTIDAD]]*Tabla4[[#This Row],[COSTO]]</f>
        <v>5500</v>
      </c>
      <c r="E379" s="94">
        <v>1600</v>
      </c>
      <c r="F379" s="98" t="s">
        <v>568</v>
      </c>
    </row>
    <row r="380" spans="1:6" ht="16.5" x14ac:dyDescent="0.25">
      <c r="A380" s="2" t="s">
        <v>373</v>
      </c>
      <c r="B380" s="62">
        <v>5</v>
      </c>
      <c r="C380" s="72">
        <v>1290</v>
      </c>
      <c r="D380" s="72">
        <f>Tabla4[[#This Row],[CANTIDAD]]*Tabla4[[#This Row],[COSTO]]</f>
        <v>6450</v>
      </c>
      <c r="E380" s="94">
        <v>1800</v>
      </c>
      <c r="F380" s="97" t="s">
        <v>568</v>
      </c>
    </row>
    <row r="381" spans="1:6" ht="16.5" x14ac:dyDescent="0.25">
      <c r="A381" s="2" t="s">
        <v>374</v>
      </c>
      <c r="B381" s="62">
        <v>5</v>
      </c>
      <c r="C381" s="68">
        <v>560</v>
      </c>
      <c r="D381" s="72">
        <f>Tabla4[[#This Row],[CANTIDAD]]*Tabla4[[#This Row],[COSTO]]</f>
        <v>2800</v>
      </c>
      <c r="E381" s="95">
        <v>800</v>
      </c>
      <c r="F381" s="98" t="s">
        <v>568</v>
      </c>
    </row>
    <row r="382" spans="1:6" ht="16.5" x14ac:dyDescent="0.25">
      <c r="A382" s="2" t="s">
        <v>375</v>
      </c>
      <c r="B382" s="62">
        <v>1</v>
      </c>
      <c r="C382" s="72">
        <v>2340</v>
      </c>
      <c r="D382" s="72">
        <f>Tabla4[[#This Row],[CANTIDAD]]*Tabla4[[#This Row],[COSTO]]</f>
        <v>2340</v>
      </c>
      <c r="E382" s="94">
        <v>3300</v>
      </c>
      <c r="F382" s="97" t="s">
        <v>568</v>
      </c>
    </row>
    <row r="383" spans="1:6" ht="16.5" x14ac:dyDescent="0.25">
      <c r="A383" s="2" t="s">
        <v>376</v>
      </c>
      <c r="B383" s="62">
        <v>60</v>
      </c>
      <c r="C383" s="68">
        <v>1400</v>
      </c>
      <c r="D383" s="70">
        <f>Tabla4[[#This Row],[CANTIDAD]]*Tabla4[[#This Row],[COSTO]]</f>
        <v>84000</v>
      </c>
      <c r="E383" s="95">
        <v>200</v>
      </c>
      <c r="F383" s="98" t="s">
        <v>568</v>
      </c>
    </row>
    <row r="384" spans="1:6" ht="16.5" x14ac:dyDescent="0.25">
      <c r="A384" s="81" t="s">
        <v>382</v>
      </c>
      <c r="B384" s="37">
        <v>10</v>
      </c>
      <c r="C384" s="99">
        <v>4000</v>
      </c>
      <c r="D384" s="100">
        <f>Tabla4[[#This Row],[CANTIDAD]]*Tabla4[[#This Row],[COSTO]]</f>
        <v>40000</v>
      </c>
      <c r="E384" s="47"/>
      <c r="F384" s="97" t="s">
        <v>568</v>
      </c>
    </row>
    <row r="385" spans="1:6" ht="16.5" x14ac:dyDescent="0.25">
      <c r="A385" s="19" t="s">
        <v>382</v>
      </c>
      <c r="B385" s="38">
        <v>10</v>
      </c>
      <c r="C385" s="101">
        <v>400</v>
      </c>
      <c r="D385" s="100">
        <f>Tabla4[[#This Row],[CANTIDAD]]*Tabla4[[#This Row],[COSTO]]</f>
        <v>4000</v>
      </c>
      <c r="E385" s="48"/>
      <c r="F385" s="98" t="s">
        <v>568</v>
      </c>
    </row>
    <row r="386" spans="1:6" ht="16.5" x14ac:dyDescent="0.25">
      <c r="A386" s="81" t="s">
        <v>383</v>
      </c>
      <c r="B386" s="37">
        <v>1</v>
      </c>
      <c r="C386" s="99">
        <v>12050</v>
      </c>
      <c r="D386" s="100">
        <f>Tabla4[[#This Row],[CANTIDAD]]*Tabla4[[#This Row],[COSTO]]</f>
        <v>12050</v>
      </c>
      <c r="E386" s="47"/>
      <c r="F386" s="97" t="s">
        <v>569</v>
      </c>
    </row>
    <row r="387" spans="1:6" ht="16.5" x14ac:dyDescent="0.25">
      <c r="A387" s="20" t="s">
        <v>384</v>
      </c>
      <c r="B387" s="39">
        <v>6</v>
      </c>
      <c r="C387" s="101">
        <v>470</v>
      </c>
      <c r="D387" s="100">
        <f>Tabla4[[#This Row],[CANTIDAD]]*Tabla4[[#This Row],[COSTO]]</f>
        <v>2820</v>
      </c>
      <c r="E387" s="49"/>
      <c r="F387" s="98" t="s">
        <v>568</v>
      </c>
    </row>
    <row r="388" spans="1:6" ht="16.5" x14ac:dyDescent="0.25">
      <c r="A388" s="81" t="s">
        <v>385</v>
      </c>
      <c r="B388" s="37">
        <v>3</v>
      </c>
      <c r="C388" s="99">
        <v>930</v>
      </c>
      <c r="D388" s="100">
        <f>Tabla4[[#This Row],[CANTIDAD]]*Tabla4[[#This Row],[COSTO]]</f>
        <v>2790</v>
      </c>
      <c r="E388" s="50"/>
      <c r="F388" s="97" t="s">
        <v>569</v>
      </c>
    </row>
    <row r="389" spans="1:6" ht="16.5" x14ac:dyDescent="0.25">
      <c r="A389" s="16" t="s">
        <v>386</v>
      </c>
      <c r="B389" s="37">
        <v>3</v>
      </c>
      <c r="C389" s="101">
        <v>1870</v>
      </c>
      <c r="D389" s="100">
        <f>Tabla4[[#This Row],[CANTIDAD]]*Tabla4[[#This Row],[COSTO]]</f>
        <v>5610</v>
      </c>
      <c r="E389" s="47"/>
      <c r="F389" s="98" t="s">
        <v>569</v>
      </c>
    </row>
    <row r="390" spans="1:6" ht="16.5" x14ac:dyDescent="0.25">
      <c r="A390" s="81" t="s">
        <v>387</v>
      </c>
      <c r="B390" s="37">
        <v>3</v>
      </c>
      <c r="C390" s="99">
        <v>1870</v>
      </c>
      <c r="D390" s="100">
        <f>Tabla4[[#This Row],[CANTIDAD]]*Tabla4[[#This Row],[COSTO]]</f>
        <v>5610</v>
      </c>
      <c r="E390" s="47"/>
      <c r="F390" s="97" t="s">
        <v>569</v>
      </c>
    </row>
    <row r="391" spans="1:6" ht="16.5" x14ac:dyDescent="0.25">
      <c r="A391" s="16" t="s">
        <v>388</v>
      </c>
      <c r="B391" s="37">
        <v>3</v>
      </c>
      <c r="C391" s="101">
        <v>1870</v>
      </c>
      <c r="D391" s="100">
        <f>Tabla4[[#This Row],[CANTIDAD]]*Tabla4[[#This Row],[COSTO]]</f>
        <v>5610</v>
      </c>
      <c r="E391" s="47"/>
      <c r="F391" s="98" t="s">
        <v>568</v>
      </c>
    </row>
    <row r="392" spans="1:6" ht="16.5" x14ac:dyDescent="0.25">
      <c r="A392" s="81" t="s">
        <v>389</v>
      </c>
      <c r="B392" s="37">
        <v>3</v>
      </c>
      <c r="C392" s="99">
        <v>1990</v>
      </c>
      <c r="D392" s="100">
        <f>Tabla4[[#This Row],[CANTIDAD]]*Tabla4[[#This Row],[COSTO]]</f>
        <v>5970</v>
      </c>
      <c r="E392" s="51"/>
      <c r="F392" s="97" t="s">
        <v>568</v>
      </c>
    </row>
    <row r="393" spans="1:6" ht="16.5" x14ac:dyDescent="0.25">
      <c r="A393" s="20" t="s">
        <v>390</v>
      </c>
      <c r="B393" s="39">
        <v>3</v>
      </c>
      <c r="C393" s="101">
        <v>2000</v>
      </c>
      <c r="D393" s="100">
        <f>Tabla4[[#This Row],[CANTIDAD]]*Tabla4[[#This Row],[COSTO]]</f>
        <v>6000</v>
      </c>
      <c r="E393" s="49"/>
      <c r="F393" s="98" t="s">
        <v>568</v>
      </c>
    </row>
    <row r="394" spans="1:6" ht="16.5" x14ac:dyDescent="0.25">
      <c r="A394" s="81" t="s">
        <v>391</v>
      </c>
      <c r="B394" s="37">
        <v>1</v>
      </c>
      <c r="C394" s="99">
        <v>2490</v>
      </c>
      <c r="D394" s="100">
        <f>Tabla4[[#This Row],[CANTIDAD]]*Tabla4[[#This Row],[COSTO]]</f>
        <v>2490</v>
      </c>
      <c r="E394" s="47"/>
      <c r="F394" s="97" t="s">
        <v>568</v>
      </c>
    </row>
    <row r="395" spans="1:6" ht="16.5" x14ac:dyDescent="0.25">
      <c r="A395" s="16" t="s">
        <v>391</v>
      </c>
      <c r="B395" s="37">
        <v>2</v>
      </c>
      <c r="C395" s="101">
        <v>2450</v>
      </c>
      <c r="D395" s="100">
        <f>Tabla4[[#This Row],[CANTIDAD]]*Tabla4[[#This Row],[COSTO]]</f>
        <v>4900</v>
      </c>
      <c r="E395" s="47"/>
      <c r="F395" s="98" t="s">
        <v>568</v>
      </c>
    </row>
    <row r="396" spans="1:6" ht="16.5" x14ac:dyDescent="0.25">
      <c r="A396" s="81" t="s">
        <v>391</v>
      </c>
      <c r="B396" s="37">
        <v>2</v>
      </c>
      <c r="C396" s="99">
        <v>2490</v>
      </c>
      <c r="D396" s="100">
        <f>Tabla4[[#This Row],[CANTIDAD]]*Tabla4[[#This Row],[COSTO]]</f>
        <v>4980</v>
      </c>
      <c r="E396" s="47"/>
      <c r="F396" s="97" t="s">
        <v>568</v>
      </c>
    </row>
    <row r="397" spans="1:6" ht="16.5" x14ac:dyDescent="0.25">
      <c r="A397" s="20" t="s">
        <v>392</v>
      </c>
      <c r="B397" s="39">
        <v>1</v>
      </c>
      <c r="C397" s="101">
        <v>1190</v>
      </c>
      <c r="D397" s="100">
        <f>Tabla4[[#This Row],[CANTIDAD]]*Tabla4[[#This Row],[COSTO]]</f>
        <v>1190</v>
      </c>
      <c r="E397" s="49"/>
      <c r="F397" s="98" t="s">
        <v>568</v>
      </c>
    </row>
    <row r="398" spans="1:6" ht="16.5" x14ac:dyDescent="0.25">
      <c r="A398" s="20" t="s">
        <v>393</v>
      </c>
      <c r="B398" s="39">
        <v>6</v>
      </c>
      <c r="C398" s="99">
        <v>425</v>
      </c>
      <c r="D398" s="100">
        <f>Tabla4[[#This Row],[CANTIDAD]]*Tabla4[[#This Row],[COSTO]]</f>
        <v>2550</v>
      </c>
      <c r="E398" s="49"/>
      <c r="F398" s="97" t="s">
        <v>568</v>
      </c>
    </row>
    <row r="399" spans="1:6" ht="16.5" x14ac:dyDescent="0.25">
      <c r="A399" s="23" t="s">
        <v>394</v>
      </c>
      <c r="B399" s="102">
        <v>4</v>
      </c>
      <c r="C399" s="101">
        <v>630</v>
      </c>
      <c r="D399" s="100">
        <f>Tabla4[[#This Row],[CANTIDAD]]*Tabla4[[#This Row],[COSTO]]</f>
        <v>2520</v>
      </c>
      <c r="E399" s="103"/>
      <c r="F399" s="98" t="s">
        <v>568</v>
      </c>
    </row>
    <row r="400" spans="1:6" ht="16.5" x14ac:dyDescent="0.25">
      <c r="A400" s="81" t="s">
        <v>395</v>
      </c>
      <c r="B400" s="37">
        <v>8</v>
      </c>
      <c r="C400" s="99">
        <v>770</v>
      </c>
      <c r="D400" s="100">
        <f>Tabla4[[#This Row],[CANTIDAD]]*Tabla4[[#This Row],[COSTO]]</f>
        <v>6160</v>
      </c>
      <c r="E400" s="50"/>
      <c r="F400" s="97" t="s">
        <v>568</v>
      </c>
    </row>
    <row r="401" spans="1:6" ht="16.5" x14ac:dyDescent="0.25">
      <c r="A401" s="16" t="s">
        <v>396</v>
      </c>
      <c r="B401" s="37">
        <v>2</v>
      </c>
      <c r="C401" s="101">
        <v>7040</v>
      </c>
      <c r="D401" s="100">
        <f>Tabla4[[#This Row],[CANTIDAD]]*Tabla4[[#This Row],[COSTO]]</f>
        <v>14080</v>
      </c>
      <c r="E401" s="47"/>
      <c r="F401" s="98" t="s">
        <v>568</v>
      </c>
    </row>
    <row r="402" spans="1:6" ht="16.5" x14ac:dyDescent="0.25">
      <c r="A402" s="81" t="s">
        <v>396</v>
      </c>
      <c r="B402" s="37">
        <v>2</v>
      </c>
      <c r="C402" s="99">
        <v>3520</v>
      </c>
      <c r="D402" s="100">
        <f>Tabla4[[#This Row],[CANTIDAD]]*Tabla4[[#This Row],[COSTO]]</f>
        <v>7040</v>
      </c>
      <c r="E402" s="53"/>
      <c r="F402" s="97" t="s">
        <v>568</v>
      </c>
    </row>
    <row r="403" spans="1:6" ht="16.5" x14ac:dyDescent="0.25">
      <c r="A403" s="25" t="s">
        <v>397</v>
      </c>
      <c r="B403" s="104">
        <v>3</v>
      </c>
      <c r="C403" s="101">
        <v>700</v>
      </c>
      <c r="D403" s="100">
        <f>Tabla4[[#This Row],[CANTIDAD]]*Tabla4[[#This Row],[COSTO]]</f>
        <v>2100</v>
      </c>
      <c r="E403" s="105"/>
      <c r="F403" s="98" t="s">
        <v>568</v>
      </c>
    </row>
    <row r="404" spans="1:6" ht="26.25" x14ac:dyDescent="0.25">
      <c r="A404" s="23" t="s">
        <v>398</v>
      </c>
      <c r="B404" s="102">
        <v>5</v>
      </c>
      <c r="C404" s="99">
        <v>1250</v>
      </c>
      <c r="D404" s="100">
        <f>Tabla4[[#This Row],[CANTIDAD]]*Tabla4[[#This Row],[COSTO]]</f>
        <v>6250</v>
      </c>
      <c r="E404" s="103"/>
      <c r="F404" s="97" t="s">
        <v>568</v>
      </c>
    </row>
    <row r="405" spans="1:6" ht="16.5" x14ac:dyDescent="0.25">
      <c r="A405" s="25" t="s">
        <v>399</v>
      </c>
      <c r="B405" s="104">
        <v>5</v>
      </c>
      <c r="C405" s="101">
        <v>1180</v>
      </c>
      <c r="D405" s="100">
        <f>Tabla4[[#This Row],[CANTIDAD]]*Tabla4[[#This Row],[COSTO]]</f>
        <v>5900</v>
      </c>
      <c r="E405" s="105"/>
      <c r="F405" s="98" t="s">
        <v>568</v>
      </c>
    </row>
    <row r="406" spans="1:6" ht="26.25" x14ac:dyDescent="0.25">
      <c r="A406" s="25" t="s">
        <v>400</v>
      </c>
      <c r="B406" s="104">
        <v>2</v>
      </c>
      <c r="C406" s="99">
        <v>1710</v>
      </c>
      <c r="D406" s="100">
        <f>Tabla4[[#This Row],[CANTIDAD]]*Tabla4[[#This Row],[COSTO]]</f>
        <v>3420</v>
      </c>
      <c r="E406" s="105"/>
      <c r="F406" s="97" t="s">
        <v>568</v>
      </c>
    </row>
    <row r="407" spans="1:6" ht="16.5" x14ac:dyDescent="0.25">
      <c r="A407" s="23" t="s">
        <v>401</v>
      </c>
      <c r="B407" s="102">
        <v>8</v>
      </c>
      <c r="C407" s="101">
        <v>1240</v>
      </c>
      <c r="D407" s="100">
        <f>Tabla4[[#This Row],[CANTIDAD]]*Tabla4[[#This Row],[COSTO]]</f>
        <v>9920</v>
      </c>
      <c r="E407" s="103"/>
      <c r="F407" s="98" t="s">
        <v>568</v>
      </c>
    </row>
    <row r="408" spans="1:6" ht="26.25" x14ac:dyDescent="0.25">
      <c r="A408" s="23" t="s">
        <v>402</v>
      </c>
      <c r="B408" s="102">
        <v>6</v>
      </c>
      <c r="C408" s="99">
        <v>525</v>
      </c>
      <c r="D408" s="100">
        <f>Tabla4[[#This Row],[CANTIDAD]]*Tabla4[[#This Row],[COSTO]]</f>
        <v>3150</v>
      </c>
      <c r="E408" s="103"/>
      <c r="F408" s="97" t="s">
        <v>568</v>
      </c>
    </row>
    <row r="409" spans="1:6" ht="26.25" x14ac:dyDescent="0.25">
      <c r="A409" s="25" t="s">
        <v>403</v>
      </c>
      <c r="B409" s="104">
        <v>6</v>
      </c>
      <c r="C409" s="101">
        <v>525</v>
      </c>
      <c r="D409" s="100">
        <f>Tabla4[[#This Row],[CANTIDAD]]*Tabla4[[#This Row],[COSTO]]</f>
        <v>3150</v>
      </c>
      <c r="E409" s="105"/>
      <c r="F409" s="98" t="s">
        <v>568</v>
      </c>
    </row>
    <row r="410" spans="1:6" ht="26.25" x14ac:dyDescent="0.25">
      <c r="A410" s="25" t="s">
        <v>404</v>
      </c>
      <c r="B410" s="104">
        <v>6</v>
      </c>
      <c r="C410" s="99">
        <v>525</v>
      </c>
      <c r="D410" s="100">
        <f>Tabla4[[#This Row],[CANTIDAD]]*Tabla4[[#This Row],[COSTO]]</f>
        <v>3150</v>
      </c>
      <c r="E410" s="105"/>
      <c r="F410" s="97" t="s">
        <v>568</v>
      </c>
    </row>
    <row r="411" spans="1:6" ht="26.25" x14ac:dyDescent="0.25">
      <c r="A411" s="25" t="s">
        <v>405</v>
      </c>
      <c r="B411" s="104">
        <v>6</v>
      </c>
      <c r="C411" s="101">
        <v>525</v>
      </c>
      <c r="D411" s="100">
        <f>Tabla4[[#This Row],[CANTIDAD]]*Tabla4[[#This Row],[COSTO]]</f>
        <v>3150</v>
      </c>
      <c r="E411" s="105"/>
      <c r="F411" s="98" t="s">
        <v>568</v>
      </c>
    </row>
    <row r="412" spans="1:6" ht="26.25" x14ac:dyDescent="0.25">
      <c r="A412" s="23" t="s">
        <v>406</v>
      </c>
      <c r="B412" s="102">
        <v>6</v>
      </c>
      <c r="C412" s="99">
        <v>525</v>
      </c>
      <c r="D412" s="100">
        <f>Tabla4[[#This Row],[CANTIDAD]]*Tabla4[[#This Row],[COSTO]]</f>
        <v>3150</v>
      </c>
      <c r="E412" s="103"/>
      <c r="F412" s="97" t="s">
        <v>568</v>
      </c>
    </row>
    <row r="413" spans="1:6" ht="26.25" x14ac:dyDescent="0.25">
      <c r="A413" s="23" t="s">
        <v>407</v>
      </c>
      <c r="B413" s="102">
        <v>6</v>
      </c>
      <c r="C413" s="101">
        <v>525</v>
      </c>
      <c r="D413" s="100">
        <f>Tabla4[[#This Row],[CANTIDAD]]*Tabla4[[#This Row],[COSTO]]</f>
        <v>3150</v>
      </c>
      <c r="E413" s="103"/>
      <c r="F413" s="98" t="s">
        <v>568</v>
      </c>
    </row>
    <row r="414" spans="1:6" ht="26.25" x14ac:dyDescent="0.25">
      <c r="A414" s="23" t="s">
        <v>408</v>
      </c>
      <c r="B414" s="102">
        <v>6</v>
      </c>
      <c r="C414" s="99">
        <v>525</v>
      </c>
      <c r="D414" s="100">
        <f>Tabla4[[#This Row],[CANTIDAD]]*Tabla4[[#This Row],[COSTO]]</f>
        <v>3150</v>
      </c>
      <c r="E414" s="103"/>
      <c r="F414" s="97" t="s">
        <v>568</v>
      </c>
    </row>
    <row r="415" spans="1:6" ht="26.25" x14ac:dyDescent="0.25">
      <c r="A415" s="25" t="s">
        <v>409</v>
      </c>
      <c r="B415" s="104">
        <v>6</v>
      </c>
      <c r="C415" s="101">
        <v>525</v>
      </c>
      <c r="D415" s="100">
        <f>Tabla4[[#This Row],[CANTIDAD]]*Tabla4[[#This Row],[COSTO]]</f>
        <v>3150</v>
      </c>
      <c r="E415" s="105"/>
      <c r="F415" s="98" t="s">
        <v>568</v>
      </c>
    </row>
    <row r="416" spans="1:6" ht="26.25" x14ac:dyDescent="0.25">
      <c r="A416" s="23" t="s">
        <v>410</v>
      </c>
      <c r="B416" s="102">
        <v>6</v>
      </c>
      <c r="C416" s="99">
        <v>525</v>
      </c>
      <c r="D416" s="100">
        <f>Tabla4[[#This Row],[CANTIDAD]]*Tabla4[[#This Row],[COSTO]]</f>
        <v>3150</v>
      </c>
      <c r="E416" s="103"/>
      <c r="F416" s="97" t="s">
        <v>568</v>
      </c>
    </row>
    <row r="417" spans="1:6" ht="26.25" x14ac:dyDescent="0.25">
      <c r="A417" s="25" t="s">
        <v>411</v>
      </c>
      <c r="B417" s="104">
        <v>5</v>
      </c>
      <c r="C417" s="101">
        <v>1240</v>
      </c>
      <c r="D417" s="100">
        <f>Tabla4[[#This Row],[CANTIDAD]]*Tabla4[[#This Row],[COSTO]]</f>
        <v>6200</v>
      </c>
      <c r="E417" s="105"/>
      <c r="F417" s="98" t="s">
        <v>568</v>
      </c>
    </row>
    <row r="418" spans="1:6" ht="16.5" x14ac:dyDescent="0.25">
      <c r="A418" s="20" t="s">
        <v>412</v>
      </c>
      <c r="B418" s="39">
        <v>8</v>
      </c>
      <c r="C418" s="99">
        <v>1130</v>
      </c>
      <c r="D418" s="100">
        <f>Tabla4[[#This Row],[CANTIDAD]]*Tabla4[[#This Row],[COSTO]]</f>
        <v>9040</v>
      </c>
      <c r="E418" s="49"/>
      <c r="F418" s="97" t="s">
        <v>568</v>
      </c>
    </row>
    <row r="419" spans="1:6" ht="16.5" x14ac:dyDescent="0.25">
      <c r="A419" s="19" t="s">
        <v>413</v>
      </c>
      <c r="B419" s="38">
        <v>6</v>
      </c>
      <c r="C419" s="101">
        <v>910</v>
      </c>
      <c r="D419" s="100">
        <f>Tabla4[[#This Row],[CANTIDAD]]*Tabla4[[#This Row],[COSTO]]</f>
        <v>5460</v>
      </c>
      <c r="E419" s="48"/>
      <c r="F419" s="98" t="s">
        <v>568</v>
      </c>
    </row>
    <row r="420" spans="1:6" ht="16.5" x14ac:dyDescent="0.25">
      <c r="A420" s="81" t="s">
        <v>414</v>
      </c>
      <c r="B420" s="37">
        <v>6</v>
      </c>
      <c r="C420" s="99">
        <v>5460</v>
      </c>
      <c r="D420" s="100">
        <f>Tabla4[[#This Row],[CANTIDAD]]*Tabla4[[#This Row],[COSTO]]</f>
        <v>32760</v>
      </c>
      <c r="E420" s="47"/>
      <c r="F420" s="97" t="s">
        <v>568</v>
      </c>
    </row>
    <row r="421" spans="1:6" ht="16.5" x14ac:dyDescent="0.25">
      <c r="A421" s="16" t="s">
        <v>415</v>
      </c>
      <c r="B421" s="37">
        <v>1</v>
      </c>
      <c r="C421" s="101">
        <v>1970</v>
      </c>
      <c r="D421" s="100">
        <f>Tabla4[[#This Row],[CANTIDAD]]*Tabla4[[#This Row],[COSTO]]</f>
        <v>1970</v>
      </c>
      <c r="E421" s="50"/>
      <c r="F421" s="98" t="s">
        <v>568</v>
      </c>
    </row>
    <row r="422" spans="1:6" ht="16.5" x14ac:dyDescent="0.25">
      <c r="A422" s="81" t="s">
        <v>416</v>
      </c>
      <c r="B422" s="37">
        <v>6</v>
      </c>
      <c r="C422" s="99">
        <v>4080</v>
      </c>
      <c r="D422" s="100">
        <f>Tabla4[[#This Row],[CANTIDAD]]*Tabla4[[#This Row],[COSTO]]</f>
        <v>24480</v>
      </c>
      <c r="E422" s="47"/>
      <c r="F422" s="97" t="s">
        <v>568</v>
      </c>
    </row>
    <row r="423" spans="1:6" ht="16.5" x14ac:dyDescent="0.25">
      <c r="A423" s="16" t="s">
        <v>416</v>
      </c>
      <c r="B423" s="37">
        <v>6</v>
      </c>
      <c r="C423" s="101">
        <v>680</v>
      </c>
      <c r="D423" s="100">
        <f>Tabla4[[#This Row],[CANTIDAD]]*Tabla4[[#This Row],[COSTO]]</f>
        <v>4080</v>
      </c>
      <c r="E423" s="53"/>
      <c r="F423" s="98" t="s">
        <v>568</v>
      </c>
    </row>
    <row r="424" spans="1:6" ht="16.5" x14ac:dyDescent="0.25">
      <c r="A424" s="81" t="s">
        <v>417</v>
      </c>
      <c r="B424" s="37">
        <v>5</v>
      </c>
      <c r="C424" s="99">
        <v>3525</v>
      </c>
      <c r="D424" s="100">
        <f>Tabla4[[#This Row],[CANTIDAD]]*Tabla4[[#This Row],[COSTO]]</f>
        <v>17625</v>
      </c>
      <c r="E424" s="47"/>
      <c r="F424" s="97" t="s">
        <v>568</v>
      </c>
    </row>
    <row r="425" spans="1:6" ht="16.5" x14ac:dyDescent="0.25">
      <c r="A425" s="19" t="s">
        <v>417</v>
      </c>
      <c r="B425" s="38">
        <v>5</v>
      </c>
      <c r="C425" s="101">
        <v>705</v>
      </c>
      <c r="D425" s="100">
        <f>Tabla4[[#This Row],[CANTIDAD]]*Tabla4[[#This Row],[COSTO]]</f>
        <v>3525</v>
      </c>
      <c r="E425" s="48"/>
      <c r="F425" s="98" t="s">
        <v>568</v>
      </c>
    </row>
    <row r="426" spans="1:6" ht="16.5" x14ac:dyDescent="0.25">
      <c r="A426" s="81" t="s">
        <v>418</v>
      </c>
      <c r="B426" s="37">
        <v>1</v>
      </c>
      <c r="C426" s="99">
        <v>7050</v>
      </c>
      <c r="D426" s="100">
        <f>Tabla4[[#This Row],[CANTIDAD]]*Tabla4[[#This Row],[COSTO]]</f>
        <v>7050</v>
      </c>
      <c r="E426" s="47"/>
      <c r="F426" s="97" t="s">
        <v>568</v>
      </c>
    </row>
    <row r="427" spans="1:6" ht="16.5" x14ac:dyDescent="0.25">
      <c r="A427" s="16" t="s">
        <v>418</v>
      </c>
      <c r="B427" s="37">
        <v>1</v>
      </c>
      <c r="C427" s="101">
        <v>7050</v>
      </c>
      <c r="D427" s="100">
        <f>Tabla4[[#This Row],[CANTIDAD]]*Tabla4[[#This Row],[COSTO]]</f>
        <v>7050</v>
      </c>
      <c r="E427" s="53"/>
      <c r="F427" s="98" t="s">
        <v>568</v>
      </c>
    </row>
    <row r="428" spans="1:6" ht="16.5" x14ac:dyDescent="0.25">
      <c r="A428" s="25" t="s">
        <v>419</v>
      </c>
      <c r="B428" s="104">
        <v>1</v>
      </c>
      <c r="C428" s="99">
        <v>3340</v>
      </c>
      <c r="D428" s="100">
        <f>Tabla4[[#This Row],[CANTIDAD]]*Tabla4[[#This Row],[COSTO]]</f>
        <v>3340</v>
      </c>
      <c r="E428" s="105"/>
      <c r="F428" s="97" t="s">
        <v>568</v>
      </c>
    </row>
    <row r="429" spans="1:6" ht="16.5" x14ac:dyDescent="0.25">
      <c r="A429" s="19" t="s">
        <v>420</v>
      </c>
      <c r="B429" s="38">
        <v>1</v>
      </c>
      <c r="C429" s="101">
        <v>8290</v>
      </c>
      <c r="D429" s="100">
        <f>Tabla4[[#This Row],[CANTIDAD]]*Tabla4[[#This Row],[COSTO]]</f>
        <v>8290</v>
      </c>
      <c r="E429" s="48"/>
      <c r="F429" s="98" t="s">
        <v>568</v>
      </c>
    </row>
    <row r="430" spans="1:6" ht="16.5" x14ac:dyDescent="0.25">
      <c r="A430" s="81" t="s">
        <v>421</v>
      </c>
      <c r="B430" s="37">
        <v>1</v>
      </c>
      <c r="C430" s="99">
        <v>8290</v>
      </c>
      <c r="D430" s="100">
        <f>Tabla4[[#This Row],[CANTIDAD]]*Tabla4[[#This Row],[COSTO]]</f>
        <v>8290</v>
      </c>
      <c r="E430" s="47"/>
      <c r="F430" s="97" t="s">
        <v>568</v>
      </c>
    </row>
    <row r="431" spans="1:6" ht="16.5" x14ac:dyDescent="0.25">
      <c r="A431" s="26" t="s">
        <v>422</v>
      </c>
      <c r="B431" s="37">
        <v>3</v>
      </c>
      <c r="C431" s="101">
        <v>11000</v>
      </c>
      <c r="D431" s="100">
        <f>Tabla4[[#This Row],[CANTIDAD]]*Tabla4[[#This Row],[COSTO]]</f>
        <v>33000</v>
      </c>
      <c r="E431" s="51"/>
      <c r="F431" s="98" t="s">
        <v>568</v>
      </c>
    </row>
    <row r="432" spans="1:6" ht="16.5" x14ac:dyDescent="0.25">
      <c r="A432" s="82" t="s">
        <v>422</v>
      </c>
      <c r="B432" s="37">
        <v>3</v>
      </c>
      <c r="C432" s="99">
        <v>11000</v>
      </c>
      <c r="D432" s="100">
        <f>Tabla4[[#This Row],[CANTIDAD]]*Tabla4[[#This Row],[COSTO]]</f>
        <v>33000</v>
      </c>
      <c r="E432" s="106"/>
      <c r="F432" s="97" t="s">
        <v>568</v>
      </c>
    </row>
    <row r="433" spans="1:6" ht="16.5" x14ac:dyDescent="0.25">
      <c r="A433" s="27" t="s">
        <v>423</v>
      </c>
      <c r="B433" s="44">
        <v>1</v>
      </c>
      <c r="C433" s="101">
        <v>11000</v>
      </c>
      <c r="D433" s="100">
        <f>Tabla4[[#This Row],[CANTIDAD]]*Tabla4[[#This Row],[COSTO]]</f>
        <v>11000</v>
      </c>
      <c r="E433" s="107"/>
      <c r="F433" s="98" t="s">
        <v>568</v>
      </c>
    </row>
    <row r="434" spans="1:6" ht="30" x14ac:dyDescent="0.25">
      <c r="A434" s="83" t="s">
        <v>423</v>
      </c>
      <c r="B434" s="37">
        <v>1</v>
      </c>
      <c r="C434" s="99">
        <v>11000</v>
      </c>
      <c r="D434" s="100">
        <f>Tabla4[[#This Row],[CANTIDAD]]*Tabla4[[#This Row],[COSTO]]</f>
        <v>11000</v>
      </c>
      <c r="E434" s="106"/>
      <c r="F434" s="97" t="s">
        <v>568</v>
      </c>
    </row>
    <row r="435" spans="1:6" ht="30" x14ac:dyDescent="0.25">
      <c r="A435" s="28" t="s">
        <v>426</v>
      </c>
      <c r="B435" s="37">
        <v>1</v>
      </c>
      <c r="C435" s="101">
        <v>11000</v>
      </c>
      <c r="D435" s="100">
        <f>Tabla4[[#This Row],[CANTIDAD]]*Tabla4[[#This Row],[COSTO]]</f>
        <v>11000</v>
      </c>
      <c r="E435" s="106"/>
      <c r="F435" s="98" t="s">
        <v>568</v>
      </c>
    </row>
    <row r="436" spans="1:6" ht="16.5" x14ac:dyDescent="0.25">
      <c r="A436" s="27" t="s">
        <v>427</v>
      </c>
      <c r="B436" s="44">
        <v>1</v>
      </c>
      <c r="C436" s="99">
        <v>11000</v>
      </c>
      <c r="D436" s="100">
        <f>Tabla4[[#This Row],[CANTIDAD]]*Tabla4[[#This Row],[COSTO]]</f>
        <v>11000</v>
      </c>
      <c r="E436" s="107"/>
      <c r="F436" s="97" t="s">
        <v>568</v>
      </c>
    </row>
    <row r="437" spans="1:6" ht="16.5" x14ac:dyDescent="0.25">
      <c r="A437" s="16" t="s">
        <v>428</v>
      </c>
      <c r="B437" s="37">
        <v>3</v>
      </c>
      <c r="C437" s="101">
        <v>1240</v>
      </c>
      <c r="D437" s="100">
        <f>Tabla4[[#This Row],[CANTIDAD]]*Tabla4[[#This Row],[COSTO]]</f>
        <v>3720</v>
      </c>
      <c r="E437" s="50"/>
      <c r="F437" s="98" t="s">
        <v>568</v>
      </c>
    </row>
    <row r="438" spans="1:6" ht="16.5" x14ac:dyDescent="0.25">
      <c r="A438" s="20" t="s">
        <v>428</v>
      </c>
      <c r="B438" s="39">
        <v>3</v>
      </c>
      <c r="C438" s="99">
        <v>1240</v>
      </c>
      <c r="D438" s="100">
        <f>Tabla4[[#This Row],[CANTIDAD]]*Tabla4[[#This Row],[COSTO]]</f>
        <v>3720</v>
      </c>
      <c r="E438" s="49"/>
      <c r="F438" s="97" t="s">
        <v>568</v>
      </c>
    </row>
    <row r="439" spans="1:6" ht="16.5" x14ac:dyDescent="0.25">
      <c r="A439" s="16" t="s">
        <v>429</v>
      </c>
      <c r="B439" s="37">
        <v>3</v>
      </c>
      <c r="C439" s="101">
        <v>1400</v>
      </c>
      <c r="D439" s="100">
        <f>Tabla4[[#This Row],[CANTIDAD]]*Tabla4[[#This Row],[COSTO]]</f>
        <v>4200</v>
      </c>
      <c r="E439" s="50"/>
      <c r="F439" s="98" t="s">
        <v>568</v>
      </c>
    </row>
    <row r="440" spans="1:6" ht="16.5" x14ac:dyDescent="0.25">
      <c r="A440" s="81" t="s">
        <v>429</v>
      </c>
      <c r="B440" s="37">
        <v>3</v>
      </c>
      <c r="C440" s="99">
        <v>1400</v>
      </c>
      <c r="D440" s="100">
        <f>Tabla4[[#This Row],[CANTIDAD]]*Tabla4[[#This Row],[COSTO]]</f>
        <v>4200</v>
      </c>
      <c r="E440" s="51"/>
      <c r="F440" s="97" t="s">
        <v>568</v>
      </c>
    </row>
    <row r="441" spans="1:6" ht="16.5" x14ac:dyDescent="0.25">
      <c r="A441" s="16" t="s">
        <v>430</v>
      </c>
      <c r="B441" s="37">
        <v>1</v>
      </c>
      <c r="C441" s="101">
        <v>4130</v>
      </c>
      <c r="D441" s="100">
        <f>Tabla4[[#This Row],[CANTIDAD]]*Tabla4[[#This Row],[COSTO]]</f>
        <v>4130</v>
      </c>
      <c r="E441" s="47"/>
      <c r="F441" s="98" t="s">
        <v>568</v>
      </c>
    </row>
    <row r="442" spans="1:6" ht="16.5" x14ac:dyDescent="0.25">
      <c r="A442" s="81" t="s">
        <v>431</v>
      </c>
      <c r="B442" s="37">
        <v>1</v>
      </c>
      <c r="C442" s="99">
        <v>4130</v>
      </c>
      <c r="D442" s="100">
        <f>Tabla4[[#This Row],[CANTIDAD]]*Tabla4[[#This Row],[COSTO]]</f>
        <v>4130</v>
      </c>
      <c r="E442" s="53"/>
      <c r="F442" s="97" t="s">
        <v>568</v>
      </c>
    </row>
    <row r="443" spans="1:6" ht="16.5" x14ac:dyDescent="0.25">
      <c r="A443" s="16" t="s">
        <v>432</v>
      </c>
      <c r="B443" s="37">
        <v>1</v>
      </c>
      <c r="C443" s="101">
        <v>3450</v>
      </c>
      <c r="D443" s="100">
        <f>Tabla4[[#This Row],[CANTIDAD]]*Tabla4[[#This Row],[COSTO]]</f>
        <v>3450</v>
      </c>
      <c r="E443" s="47"/>
      <c r="F443" s="98" t="s">
        <v>568</v>
      </c>
    </row>
    <row r="444" spans="1:6" ht="16.5" x14ac:dyDescent="0.25">
      <c r="A444" s="19" t="s">
        <v>432</v>
      </c>
      <c r="B444" s="38">
        <v>1</v>
      </c>
      <c r="C444" s="99">
        <v>3450</v>
      </c>
      <c r="D444" s="100">
        <f>Tabla4[[#This Row],[CANTIDAD]]*Tabla4[[#This Row],[COSTO]]</f>
        <v>3450</v>
      </c>
      <c r="E444" s="48"/>
      <c r="F444" s="97" t="s">
        <v>568</v>
      </c>
    </row>
    <row r="445" spans="1:6" ht="16.5" x14ac:dyDescent="0.25">
      <c r="A445" s="16" t="s">
        <v>433</v>
      </c>
      <c r="B445" s="37">
        <v>1</v>
      </c>
      <c r="C445" s="101">
        <v>2600</v>
      </c>
      <c r="D445" s="100">
        <f>Tabla4[[#This Row],[CANTIDAD]]*Tabla4[[#This Row],[COSTO]]</f>
        <v>2600</v>
      </c>
      <c r="E445" s="47"/>
      <c r="F445" s="98" t="s">
        <v>568</v>
      </c>
    </row>
    <row r="446" spans="1:6" ht="16.5" x14ac:dyDescent="0.25">
      <c r="A446" s="81" t="s">
        <v>433</v>
      </c>
      <c r="B446" s="37">
        <v>1</v>
      </c>
      <c r="C446" s="99">
        <v>2600</v>
      </c>
      <c r="D446" s="100">
        <f>Tabla4[[#This Row],[CANTIDAD]]*Tabla4[[#This Row],[COSTO]]</f>
        <v>2600</v>
      </c>
      <c r="E446" s="53"/>
      <c r="F446" s="97" t="s">
        <v>568</v>
      </c>
    </row>
    <row r="447" spans="1:6" ht="16.5" x14ac:dyDescent="0.25">
      <c r="A447" s="20" t="s">
        <v>434</v>
      </c>
      <c r="B447" s="39">
        <v>3</v>
      </c>
      <c r="C447" s="101">
        <v>2640</v>
      </c>
      <c r="D447" s="100">
        <f>Tabla4[[#This Row],[CANTIDAD]]*Tabla4[[#This Row],[COSTO]]</f>
        <v>7920</v>
      </c>
      <c r="E447" s="49"/>
      <c r="F447" s="98" t="s">
        <v>568</v>
      </c>
    </row>
    <row r="448" spans="1:6" ht="16.5" x14ac:dyDescent="0.25">
      <c r="A448" s="81" t="s">
        <v>435</v>
      </c>
      <c r="B448" s="37">
        <v>1</v>
      </c>
      <c r="C448" s="99">
        <v>2640</v>
      </c>
      <c r="D448" s="100">
        <f>Tabla4[[#This Row],[CANTIDAD]]*Tabla4[[#This Row],[COSTO]]</f>
        <v>2640</v>
      </c>
      <c r="E448" s="50"/>
      <c r="F448" s="97" t="s">
        <v>568</v>
      </c>
    </row>
    <row r="449" spans="1:6" ht="16.5" x14ac:dyDescent="0.25">
      <c r="A449" s="16" t="s">
        <v>435</v>
      </c>
      <c r="B449" s="37">
        <v>6</v>
      </c>
      <c r="C449" s="101">
        <v>2640</v>
      </c>
      <c r="D449" s="100">
        <f>Tabla4[[#This Row],[CANTIDAD]]*Tabla4[[#This Row],[COSTO]]</f>
        <v>15840</v>
      </c>
      <c r="E449" s="51"/>
      <c r="F449" s="98" t="s">
        <v>568</v>
      </c>
    </row>
    <row r="450" spans="1:6" ht="16.5" x14ac:dyDescent="0.25">
      <c r="A450" s="81" t="s">
        <v>436</v>
      </c>
      <c r="B450" s="37">
        <v>1</v>
      </c>
      <c r="C450" s="99">
        <v>2640</v>
      </c>
      <c r="D450" s="100">
        <f>Tabla4[[#This Row],[CANTIDAD]]*Tabla4[[#This Row],[COSTO]]</f>
        <v>2640</v>
      </c>
      <c r="E450" s="51"/>
      <c r="F450" s="97" t="s">
        <v>568</v>
      </c>
    </row>
    <row r="451" spans="1:6" ht="16.5" x14ac:dyDescent="0.25">
      <c r="A451" s="16" t="s">
        <v>436</v>
      </c>
      <c r="B451" s="37">
        <v>3</v>
      </c>
      <c r="C451" s="101">
        <v>2640</v>
      </c>
      <c r="D451" s="100">
        <f>Tabla4[[#This Row],[CANTIDAD]]*Tabla4[[#This Row],[COSTO]]</f>
        <v>7920</v>
      </c>
      <c r="E451" s="50"/>
      <c r="F451" s="98" t="s">
        <v>569</v>
      </c>
    </row>
    <row r="452" spans="1:6" ht="16.5" x14ac:dyDescent="0.25">
      <c r="A452" s="81" t="s">
        <v>437</v>
      </c>
      <c r="B452" s="37">
        <v>1</v>
      </c>
      <c r="C452" s="99">
        <v>5640</v>
      </c>
      <c r="D452" s="100">
        <f>Tabla4[[#This Row],[CANTIDAD]]*Tabla4[[#This Row],[COSTO]]</f>
        <v>5640</v>
      </c>
      <c r="E452" s="47"/>
      <c r="F452" s="97" t="s">
        <v>569</v>
      </c>
    </row>
    <row r="453" spans="1:6" ht="16.5" x14ac:dyDescent="0.25">
      <c r="A453" s="16" t="s">
        <v>437</v>
      </c>
      <c r="B453" s="37">
        <v>1</v>
      </c>
      <c r="C453" s="101">
        <v>5640</v>
      </c>
      <c r="D453" s="100">
        <f>Tabla4[[#This Row],[CANTIDAD]]*Tabla4[[#This Row],[COSTO]]</f>
        <v>5640</v>
      </c>
      <c r="E453" s="53"/>
      <c r="F453" s="98" t="s">
        <v>568</v>
      </c>
    </row>
    <row r="454" spans="1:6" ht="16.5" x14ac:dyDescent="0.25">
      <c r="A454" s="20" t="s">
        <v>438</v>
      </c>
      <c r="B454" s="39">
        <v>1</v>
      </c>
      <c r="C454" s="99">
        <v>7140</v>
      </c>
      <c r="D454" s="100">
        <f>Tabla4[[#This Row],[CANTIDAD]]*Tabla4[[#This Row],[COSTO]]</f>
        <v>7140</v>
      </c>
      <c r="E454" s="49"/>
      <c r="F454" s="97" t="s">
        <v>568</v>
      </c>
    </row>
    <row r="455" spans="1:6" ht="16.5" x14ac:dyDescent="0.25">
      <c r="A455" s="16" t="s">
        <v>439</v>
      </c>
      <c r="B455" s="37">
        <v>1</v>
      </c>
      <c r="C455" s="101">
        <v>10710</v>
      </c>
      <c r="D455" s="100">
        <f>Tabla4[[#This Row],[CANTIDAD]]*Tabla4[[#This Row],[COSTO]]</f>
        <v>10710</v>
      </c>
      <c r="E455" s="51"/>
      <c r="F455" s="98" t="s">
        <v>568</v>
      </c>
    </row>
    <row r="456" spans="1:6" ht="26.25" x14ac:dyDescent="0.25">
      <c r="A456" s="23" t="s">
        <v>440</v>
      </c>
      <c r="B456" s="102">
        <v>6</v>
      </c>
      <c r="C456" s="99">
        <v>990</v>
      </c>
      <c r="D456" s="100">
        <f>Tabla4[[#This Row],[CANTIDAD]]*Tabla4[[#This Row],[COSTO]]</f>
        <v>5940</v>
      </c>
      <c r="E456" s="103"/>
      <c r="F456" s="97" t="s">
        <v>568</v>
      </c>
    </row>
    <row r="457" spans="1:6" ht="16.5" x14ac:dyDescent="0.25">
      <c r="A457" s="16" t="s">
        <v>441</v>
      </c>
      <c r="B457" s="37">
        <v>8</v>
      </c>
      <c r="C457" s="101">
        <v>1290</v>
      </c>
      <c r="D457" s="100">
        <f>Tabla4[[#This Row],[CANTIDAD]]*Tabla4[[#This Row],[COSTO]]</f>
        <v>10320</v>
      </c>
      <c r="E457" s="51"/>
      <c r="F457" s="98" t="s">
        <v>568</v>
      </c>
    </row>
    <row r="458" spans="1:6" ht="16.5" x14ac:dyDescent="0.25">
      <c r="A458" s="81" t="s">
        <v>442</v>
      </c>
      <c r="B458" s="37">
        <v>10</v>
      </c>
      <c r="C458" s="99">
        <v>5200</v>
      </c>
      <c r="D458" s="100">
        <f>Tabla4[[#This Row],[CANTIDAD]]*Tabla4[[#This Row],[COSTO]]</f>
        <v>52000</v>
      </c>
      <c r="E458" s="47"/>
      <c r="F458" s="97" t="s">
        <v>568</v>
      </c>
    </row>
    <row r="459" spans="1:6" ht="16.5" x14ac:dyDescent="0.25">
      <c r="A459" s="19" t="s">
        <v>442</v>
      </c>
      <c r="B459" s="38">
        <v>10</v>
      </c>
      <c r="C459" s="101">
        <v>520</v>
      </c>
      <c r="D459" s="100">
        <f>Tabla4[[#This Row],[CANTIDAD]]*Tabla4[[#This Row],[COSTO]]</f>
        <v>5200</v>
      </c>
      <c r="E459" s="48"/>
      <c r="F459" s="98" t="s">
        <v>568</v>
      </c>
    </row>
    <row r="460" spans="1:6" ht="16.5" x14ac:dyDescent="0.25">
      <c r="A460" s="81" t="s">
        <v>443</v>
      </c>
      <c r="B460" s="37">
        <v>10</v>
      </c>
      <c r="C460" s="99">
        <v>6200</v>
      </c>
      <c r="D460" s="100">
        <f>Tabla4[[#This Row],[CANTIDAD]]*Tabla4[[#This Row],[COSTO]]</f>
        <v>62000</v>
      </c>
      <c r="E460" s="47"/>
      <c r="F460" s="97" t="s">
        <v>568</v>
      </c>
    </row>
    <row r="461" spans="1:6" ht="16.5" x14ac:dyDescent="0.25">
      <c r="A461" s="16" t="s">
        <v>443</v>
      </c>
      <c r="B461" s="37">
        <v>10</v>
      </c>
      <c r="C461" s="101">
        <v>620</v>
      </c>
      <c r="D461" s="100">
        <f>Tabla4[[#This Row],[CANTIDAD]]*Tabla4[[#This Row],[COSTO]]</f>
        <v>6200</v>
      </c>
      <c r="E461" s="53"/>
      <c r="F461" s="98" t="s">
        <v>568</v>
      </c>
    </row>
    <row r="462" spans="1:6" ht="16.5" x14ac:dyDescent="0.25">
      <c r="A462" s="81" t="s">
        <v>444</v>
      </c>
      <c r="B462" s="37">
        <v>3</v>
      </c>
      <c r="C462" s="99">
        <v>670</v>
      </c>
      <c r="D462" s="100">
        <f>Tabla4[[#This Row],[CANTIDAD]]*Tabla4[[#This Row],[COSTO]]</f>
        <v>2010</v>
      </c>
      <c r="E462" s="47"/>
      <c r="F462" s="97" t="s">
        <v>568</v>
      </c>
    </row>
    <row r="463" spans="1:6" ht="16.5" x14ac:dyDescent="0.25">
      <c r="A463" s="16" t="s">
        <v>445</v>
      </c>
      <c r="B463" s="37">
        <v>3</v>
      </c>
      <c r="C463" s="101">
        <v>640</v>
      </c>
      <c r="D463" s="100">
        <f>Tabla4[[#This Row],[CANTIDAD]]*Tabla4[[#This Row],[COSTO]]</f>
        <v>1920</v>
      </c>
      <c r="E463" s="47"/>
      <c r="F463" s="98" t="s">
        <v>568</v>
      </c>
    </row>
    <row r="464" spans="1:6" ht="16.5" x14ac:dyDescent="0.25">
      <c r="A464" s="81" t="s">
        <v>446</v>
      </c>
      <c r="B464" s="37">
        <v>1</v>
      </c>
      <c r="C464" s="99">
        <v>1560</v>
      </c>
      <c r="D464" s="100">
        <f>Tabla4[[#This Row],[CANTIDAD]]*Tabla4[[#This Row],[COSTO]]</f>
        <v>1560</v>
      </c>
      <c r="E464" s="47"/>
      <c r="F464" s="97" t="s">
        <v>568</v>
      </c>
    </row>
    <row r="465" spans="1:6" ht="16.5" x14ac:dyDescent="0.25">
      <c r="A465" s="19" t="s">
        <v>446</v>
      </c>
      <c r="B465" s="38">
        <v>1</v>
      </c>
      <c r="C465" s="101">
        <v>1560</v>
      </c>
      <c r="D465" s="100">
        <f>Tabla4[[#This Row],[CANTIDAD]]*Tabla4[[#This Row],[COSTO]]</f>
        <v>1560</v>
      </c>
      <c r="E465" s="48"/>
      <c r="F465" s="98" t="s">
        <v>568</v>
      </c>
    </row>
    <row r="466" spans="1:6" ht="16.5" x14ac:dyDescent="0.25">
      <c r="A466" s="81" t="s">
        <v>447</v>
      </c>
      <c r="B466" s="37">
        <v>1</v>
      </c>
      <c r="C466" s="99">
        <v>1560</v>
      </c>
      <c r="D466" s="100">
        <f>Tabla4[[#This Row],[CANTIDAD]]*Tabla4[[#This Row],[COSTO]]</f>
        <v>1560</v>
      </c>
      <c r="E466" s="47"/>
      <c r="F466" s="97" t="s">
        <v>568</v>
      </c>
    </row>
    <row r="467" spans="1:6" ht="16.5" x14ac:dyDescent="0.25">
      <c r="A467" s="16" t="s">
        <v>447</v>
      </c>
      <c r="B467" s="37">
        <v>1</v>
      </c>
      <c r="C467" s="101">
        <v>1560</v>
      </c>
      <c r="D467" s="100">
        <f>Tabla4[[#This Row],[CANTIDAD]]*Tabla4[[#This Row],[COSTO]]</f>
        <v>1560</v>
      </c>
      <c r="E467" s="53"/>
      <c r="F467" s="98" t="s">
        <v>568</v>
      </c>
    </row>
    <row r="468" spans="1:6" ht="16.5" x14ac:dyDescent="0.25">
      <c r="A468" s="81" t="s">
        <v>448</v>
      </c>
      <c r="B468" s="37">
        <v>1</v>
      </c>
      <c r="C468" s="99">
        <v>1560</v>
      </c>
      <c r="D468" s="100">
        <f>Tabla4[[#This Row],[CANTIDAD]]*Tabla4[[#This Row],[COSTO]]</f>
        <v>1560</v>
      </c>
      <c r="E468" s="47"/>
      <c r="F468" s="97" t="s">
        <v>568</v>
      </c>
    </row>
    <row r="469" spans="1:6" ht="16.5" x14ac:dyDescent="0.25">
      <c r="A469" s="16" t="s">
        <v>448</v>
      </c>
      <c r="B469" s="37">
        <v>1</v>
      </c>
      <c r="C469" s="101">
        <v>1560</v>
      </c>
      <c r="D469" s="100">
        <f>Tabla4[[#This Row],[CANTIDAD]]*Tabla4[[#This Row],[COSTO]]</f>
        <v>1560</v>
      </c>
      <c r="E469" s="58"/>
      <c r="F469" s="98" t="s">
        <v>568</v>
      </c>
    </row>
    <row r="470" spans="1:6" ht="16.5" x14ac:dyDescent="0.25">
      <c r="A470" s="81" t="s">
        <v>449</v>
      </c>
      <c r="B470" s="37">
        <v>1</v>
      </c>
      <c r="C470" s="99">
        <v>1560</v>
      </c>
      <c r="D470" s="100">
        <f>Tabla4[[#This Row],[CANTIDAD]]*Tabla4[[#This Row],[COSTO]]</f>
        <v>1560</v>
      </c>
      <c r="E470" s="47"/>
      <c r="F470" s="97" t="s">
        <v>568</v>
      </c>
    </row>
    <row r="471" spans="1:6" ht="16.5" x14ac:dyDescent="0.25">
      <c r="A471" s="16" t="s">
        <v>449</v>
      </c>
      <c r="B471" s="37">
        <v>1</v>
      </c>
      <c r="C471" s="101">
        <v>1560</v>
      </c>
      <c r="D471" s="100">
        <f>Tabla4[[#This Row],[CANTIDAD]]*Tabla4[[#This Row],[COSTO]]</f>
        <v>1560</v>
      </c>
      <c r="E471" s="53"/>
      <c r="F471" s="98" t="s">
        <v>568</v>
      </c>
    </row>
    <row r="472" spans="1:6" ht="16.5" x14ac:dyDescent="0.25">
      <c r="A472" s="81" t="s">
        <v>450</v>
      </c>
      <c r="B472" s="37">
        <v>1</v>
      </c>
      <c r="C472" s="99">
        <v>1560</v>
      </c>
      <c r="D472" s="100">
        <f>Tabla4[[#This Row],[CANTIDAD]]*Tabla4[[#This Row],[COSTO]]</f>
        <v>1560</v>
      </c>
      <c r="E472" s="47"/>
      <c r="F472" s="97" t="s">
        <v>568</v>
      </c>
    </row>
    <row r="473" spans="1:6" ht="16.5" x14ac:dyDescent="0.25">
      <c r="A473" s="19" t="s">
        <v>450</v>
      </c>
      <c r="B473" s="38">
        <v>1</v>
      </c>
      <c r="C473" s="101">
        <v>1560</v>
      </c>
      <c r="D473" s="100">
        <f>Tabla4[[#This Row],[CANTIDAD]]*Tabla4[[#This Row],[COSTO]]</f>
        <v>1560</v>
      </c>
      <c r="E473" s="48"/>
      <c r="F473" s="98" t="s">
        <v>568</v>
      </c>
    </row>
    <row r="474" spans="1:6" ht="16.5" x14ac:dyDescent="0.25">
      <c r="A474" s="81" t="s">
        <v>451</v>
      </c>
      <c r="B474" s="37">
        <v>10</v>
      </c>
      <c r="C474" s="99">
        <v>2500</v>
      </c>
      <c r="D474" s="100">
        <f>Tabla4[[#This Row],[CANTIDAD]]*Tabla4[[#This Row],[COSTO]]</f>
        <v>25000</v>
      </c>
      <c r="E474" s="47"/>
      <c r="F474" s="97" t="s">
        <v>568</v>
      </c>
    </row>
    <row r="475" spans="1:6" ht="16.5" x14ac:dyDescent="0.25">
      <c r="A475" s="19" t="s">
        <v>451</v>
      </c>
      <c r="B475" s="38">
        <v>10</v>
      </c>
      <c r="C475" s="101">
        <v>250</v>
      </c>
      <c r="D475" s="100">
        <f>Tabla4[[#This Row],[CANTIDAD]]*Tabla4[[#This Row],[COSTO]]</f>
        <v>2500</v>
      </c>
      <c r="E475" s="48"/>
      <c r="F475" s="98" t="s">
        <v>568</v>
      </c>
    </row>
    <row r="476" spans="1:6" ht="26.25" x14ac:dyDescent="0.25">
      <c r="A476" s="25" t="s">
        <v>452</v>
      </c>
      <c r="B476" s="104">
        <v>1</v>
      </c>
      <c r="C476" s="99">
        <v>1850</v>
      </c>
      <c r="D476" s="100">
        <f>Tabla4[[#This Row],[CANTIDAD]]*Tabla4[[#This Row],[COSTO]]</f>
        <v>1850</v>
      </c>
      <c r="E476" s="105"/>
      <c r="F476" s="97" t="s">
        <v>568</v>
      </c>
    </row>
    <row r="477" spans="1:6" ht="16.5" x14ac:dyDescent="0.25">
      <c r="A477" s="16" t="s">
        <v>452</v>
      </c>
      <c r="B477" s="37">
        <v>3</v>
      </c>
      <c r="C477" s="101">
        <v>5550</v>
      </c>
      <c r="D477" s="100">
        <f>Tabla4[[#This Row],[CANTIDAD]]*Tabla4[[#This Row],[COSTO]]</f>
        <v>16650</v>
      </c>
      <c r="E477" s="47"/>
      <c r="F477" s="98" t="s">
        <v>568</v>
      </c>
    </row>
    <row r="478" spans="1:6" ht="16.5" x14ac:dyDescent="0.25">
      <c r="A478" s="19" t="s">
        <v>452</v>
      </c>
      <c r="B478" s="38">
        <v>3</v>
      </c>
      <c r="C478" s="99">
        <v>1850</v>
      </c>
      <c r="D478" s="100">
        <f>Tabla4[[#This Row],[CANTIDAD]]*Tabla4[[#This Row],[COSTO]]</f>
        <v>5550</v>
      </c>
      <c r="E478" s="48"/>
      <c r="F478" s="97" t="s">
        <v>568</v>
      </c>
    </row>
    <row r="479" spans="1:6" ht="16.5" x14ac:dyDescent="0.25">
      <c r="A479" s="16" t="s">
        <v>453</v>
      </c>
      <c r="B479" s="37">
        <v>3</v>
      </c>
      <c r="C479" s="101">
        <v>5220</v>
      </c>
      <c r="D479" s="100">
        <f>Tabla4[[#This Row],[CANTIDAD]]*Tabla4[[#This Row],[COSTO]]</f>
        <v>15660</v>
      </c>
      <c r="E479" s="47"/>
      <c r="F479" s="98" t="s">
        <v>568</v>
      </c>
    </row>
    <row r="480" spans="1:6" ht="16.5" x14ac:dyDescent="0.25">
      <c r="A480" s="81" t="s">
        <v>453</v>
      </c>
      <c r="B480" s="37">
        <v>3</v>
      </c>
      <c r="C480" s="99">
        <v>1740</v>
      </c>
      <c r="D480" s="100">
        <f>Tabla4[[#This Row],[CANTIDAD]]*Tabla4[[#This Row],[COSTO]]</f>
        <v>5220</v>
      </c>
      <c r="E480" s="53"/>
      <c r="F480" s="97" t="s">
        <v>569</v>
      </c>
    </row>
    <row r="481" spans="1:6" ht="16.5" x14ac:dyDescent="0.25">
      <c r="A481" s="26" t="s">
        <v>454</v>
      </c>
      <c r="B481" s="37">
        <v>2</v>
      </c>
      <c r="C481" s="101">
        <v>2600</v>
      </c>
      <c r="D481" s="100">
        <f>Tabla4[[#This Row],[CANTIDAD]]*Tabla4[[#This Row],[COSTO]]</f>
        <v>5200</v>
      </c>
      <c r="E481" s="51"/>
      <c r="F481" s="98" t="s">
        <v>569</v>
      </c>
    </row>
    <row r="482" spans="1:6" ht="16.5" x14ac:dyDescent="0.25">
      <c r="A482" s="82" t="s">
        <v>455</v>
      </c>
      <c r="B482" s="37">
        <v>2</v>
      </c>
      <c r="C482" s="99">
        <v>2600</v>
      </c>
      <c r="D482" s="100">
        <f>Tabla4[[#This Row],[CANTIDAD]]*Tabla4[[#This Row],[COSTO]]</f>
        <v>5200</v>
      </c>
      <c r="E482" s="106"/>
      <c r="F482" s="97" t="s">
        <v>568</v>
      </c>
    </row>
    <row r="483" spans="1:6" ht="16.5" x14ac:dyDescent="0.25">
      <c r="A483" s="16" t="s">
        <v>456</v>
      </c>
      <c r="B483" s="37">
        <v>1</v>
      </c>
      <c r="C483" s="101">
        <v>2670</v>
      </c>
      <c r="D483" s="100">
        <f>Tabla4[[#This Row],[CANTIDAD]]*Tabla4[[#This Row],[COSTO]]</f>
        <v>2670</v>
      </c>
      <c r="E483" s="50"/>
      <c r="F483" s="98" t="s">
        <v>568</v>
      </c>
    </row>
    <row r="484" spans="1:6" ht="16.5" x14ac:dyDescent="0.25">
      <c r="A484" s="81" t="s">
        <v>457</v>
      </c>
      <c r="B484" s="37">
        <v>5</v>
      </c>
      <c r="C484" s="99">
        <v>420</v>
      </c>
      <c r="D484" s="100">
        <f>Tabla4[[#This Row],[CANTIDAD]]*Tabla4[[#This Row],[COSTO]]</f>
        <v>2100</v>
      </c>
      <c r="E484" s="47"/>
      <c r="F484" s="97" t="s">
        <v>569</v>
      </c>
    </row>
    <row r="485" spans="1:6" ht="16.5" x14ac:dyDescent="0.25">
      <c r="A485" s="16" t="s">
        <v>458</v>
      </c>
      <c r="B485" s="37">
        <v>3</v>
      </c>
      <c r="C485" s="101">
        <v>530</v>
      </c>
      <c r="D485" s="100">
        <f>Tabla4[[#This Row],[CANTIDAD]]*Tabla4[[#This Row],[COSTO]]</f>
        <v>1590</v>
      </c>
      <c r="E485" s="50"/>
      <c r="F485" s="98" t="s">
        <v>569</v>
      </c>
    </row>
    <row r="486" spans="1:6" ht="16.5" x14ac:dyDescent="0.25">
      <c r="A486" s="81" t="s">
        <v>459</v>
      </c>
      <c r="B486" s="37">
        <v>3</v>
      </c>
      <c r="C486" s="99">
        <v>530</v>
      </c>
      <c r="D486" s="100">
        <f>Tabla4[[#This Row],[CANTIDAD]]*Tabla4[[#This Row],[COSTO]]</f>
        <v>1590</v>
      </c>
      <c r="E486" s="50"/>
      <c r="F486" s="97" t="s">
        <v>569</v>
      </c>
    </row>
    <row r="487" spans="1:6" ht="16.5" x14ac:dyDescent="0.25">
      <c r="A487" s="16" t="s">
        <v>460</v>
      </c>
      <c r="B487" s="37">
        <v>3</v>
      </c>
      <c r="C487" s="101">
        <v>530</v>
      </c>
      <c r="D487" s="100">
        <f>Tabla4[[#This Row],[CANTIDAD]]*Tabla4[[#This Row],[COSTO]]</f>
        <v>1590</v>
      </c>
      <c r="E487" s="50"/>
      <c r="F487" s="98" t="s">
        <v>569</v>
      </c>
    </row>
    <row r="488" spans="1:6" ht="16.5" x14ac:dyDescent="0.25">
      <c r="A488" s="81" t="s">
        <v>461</v>
      </c>
      <c r="B488" s="37">
        <v>3</v>
      </c>
      <c r="C488" s="99">
        <v>530</v>
      </c>
      <c r="D488" s="100">
        <f>Tabla4[[#This Row],[CANTIDAD]]*Tabla4[[#This Row],[COSTO]]</f>
        <v>1590</v>
      </c>
      <c r="E488" s="50"/>
      <c r="F488" s="97" t="s">
        <v>569</v>
      </c>
    </row>
    <row r="489" spans="1:6" ht="16.5" x14ac:dyDescent="0.25">
      <c r="A489" s="16" t="s">
        <v>462</v>
      </c>
      <c r="B489" s="37">
        <v>3</v>
      </c>
      <c r="C489" s="101">
        <v>530</v>
      </c>
      <c r="D489" s="100">
        <f>Tabla4[[#This Row],[CANTIDAD]]*Tabla4[[#This Row],[COSTO]]</f>
        <v>1590</v>
      </c>
      <c r="E489" s="50"/>
      <c r="F489" s="98" t="s">
        <v>569</v>
      </c>
    </row>
    <row r="490" spans="1:6" ht="16.5" x14ac:dyDescent="0.25">
      <c r="A490" s="81" t="s">
        <v>463</v>
      </c>
      <c r="B490" s="37">
        <v>3</v>
      </c>
      <c r="C490" s="99">
        <v>530</v>
      </c>
      <c r="D490" s="100">
        <f>Tabla4[[#This Row],[CANTIDAD]]*Tabla4[[#This Row],[COSTO]]</f>
        <v>1590</v>
      </c>
      <c r="E490" s="50"/>
      <c r="F490" s="97" t="s">
        <v>569</v>
      </c>
    </row>
    <row r="491" spans="1:6" ht="16.5" x14ac:dyDescent="0.25">
      <c r="A491" s="16" t="s">
        <v>464</v>
      </c>
      <c r="B491" s="37">
        <v>3</v>
      </c>
      <c r="C491" s="101">
        <v>530</v>
      </c>
      <c r="D491" s="100">
        <f>Tabla4[[#This Row],[CANTIDAD]]*Tabla4[[#This Row],[COSTO]]</f>
        <v>1590</v>
      </c>
      <c r="E491" s="50"/>
      <c r="F491" s="98" t="s">
        <v>569</v>
      </c>
    </row>
    <row r="492" spans="1:6" ht="16.5" x14ac:dyDescent="0.25">
      <c r="A492" s="81" t="s">
        <v>465</v>
      </c>
      <c r="B492" s="37">
        <v>3</v>
      </c>
      <c r="C492" s="99">
        <v>530</v>
      </c>
      <c r="D492" s="100">
        <f>Tabla4[[#This Row],[CANTIDAD]]*Tabla4[[#This Row],[COSTO]]</f>
        <v>1590</v>
      </c>
      <c r="E492" s="50"/>
      <c r="F492" s="97" t="s">
        <v>569</v>
      </c>
    </row>
    <row r="493" spans="1:6" ht="16.5" x14ac:dyDescent="0.25">
      <c r="A493" s="16" t="s">
        <v>466</v>
      </c>
      <c r="B493" s="37">
        <v>3</v>
      </c>
      <c r="C493" s="101">
        <v>530</v>
      </c>
      <c r="D493" s="100">
        <f>Tabla4[[#This Row],[CANTIDAD]]*Tabla4[[#This Row],[COSTO]]</f>
        <v>1590</v>
      </c>
      <c r="E493" s="50"/>
      <c r="F493" s="98" t="s">
        <v>569</v>
      </c>
    </row>
    <row r="494" spans="1:6" ht="16.5" x14ac:dyDescent="0.25">
      <c r="A494" s="81" t="s">
        <v>467</v>
      </c>
      <c r="B494" s="37">
        <v>3</v>
      </c>
      <c r="C494" s="99">
        <v>530</v>
      </c>
      <c r="D494" s="100">
        <f>Tabla4[[#This Row],[CANTIDAD]]*Tabla4[[#This Row],[COSTO]]</f>
        <v>1590</v>
      </c>
      <c r="E494" s="50"/>
      <c r="F494" s="97" t="s">
        <v>569</v>
      </c>
    </row>
    <row r="495" spans="1:6" ht="16.5" x14ac:dyDescent="0.25">
      <c r="A495" s="16" t="s">
        <v>468</v>
      </c>
      <c r="B495" s="37">
        <v>3</v>
      </c>
      <c r="C495" s="101">
        <v>530</v>
      </c>
      <c r="D495" s="100">
        <f>Tabla4[[#This Row],[CANTIDAD]]*Tabla4[[#This Row],[COSTO]]</f>
        <v>1590</v>
      </c>
      <c r="E495" s="50"/>
      <c r="F495" s="98" t="s">
        <v>569</v>
      </c>
    </row>
    <row r="496" spans="1:6" ht="16.5" x14ac:dyDescent="0.25">
      <c r="A496" s="81" t="s">
        <v>469</v>
      </c>
      <c r="B496" s="37">
        <v>3</v>
      </c>
      <c r="C496" s="99">
        <v>530</v>
      </c>
      <c r="D496" s="100">
        <f>Tabla4[[#This Row],[CANTIDAD]]*Tabla4[[#This Row],[COSTO]]</f>
        <v>1590</v>
      </c>
      <c r="E496" s="50"/>
      <c r="F496" s="97" t="s">
        <v>568</v>
      </c>
    </row>
    <row r="497" spans="1:6" ht="16.5" x14ac:dyDescent="0.25">
      <c r="A497" s="16" t="s">
        <v>470</v>
      </c>
      <c r="B497" s="37">
        <v>1</v>
      </c>
      <c r="C497" s="101">
        <v>3130</v>
      </c>
      <c r="D497" s="100">
        <f>Tabla4[[#This Row],[CANTIDAD]]*Tabla4[[#This Row],[COSTO]]</f>
        <v>3130</v>
      </c>
      <c r="E497" s="53"/>
      <c r="F497" s="98" t="s">
        <v>568</v>
      </c>
    </row>
    <row r="498" spans="1:6" ht="16.5" x14ac:dyDescent="0.25">
      <c r="A498" s="81" t="s">
        <v>471</v>
      </c>
      <c r="B498" s="37">
        <v>2</v>
      </c>
      <c r="C498" s="99">
        <v>2030</v>
      </c>
      <c r="D498" s="100">
        <f>Tabla4[[#This Row],[CANTIDAD]]*Tabla4[[#This Row],[COSTO]]</f>
        <v>4060</v>
      </c>
      <c r="E498" s="51"/>
      <c r="F498" s="97" t="s">
        <v>568</v>
      </c>
    </row>
    <row r="499" spans="1:6" ht="16.5" x14ac:dyDescent="0.25">
      <c r="A499" s="16" t="s">
        <v>471</v>
      </c>
      <c r="B499" s="37">
        <v>4</v>
      </c>
      <c r="C499" s="101">
        <v>2030</v>
      </c>
      <c r="D499" s="100">
        <f>Tabla4[[#This Row],[CANTIDAD]]*Tabla4[[#This Row],[COSTO]]</f>
        <v>8120</v>
      </c>
      <c r="E499" s="50"/>
      <c r="F499" s="98" t="s">
        <v>568</v>
      </c>
    </row>
    <row r="500" spans="1:6" ht="16.5" x14ac:dyDescent="0.25">
      <c r="A500" s="81" t="s">
        <v>472</v>
      </c>
      <c r="B500" s="37">
        <v>6</v>
      </c>
      <c r="C500" s="99">
        <v>1180</v>
      </c>
      <c r="D500" s="100">
        <f>Tabla4[[#This Row],[CANTIDAD]]*Tabla4[[#This Row],[COSTO]]</f>
        <v>7080</v>
      </c>
      <c r="E500" s="47"/>
      <c r="F500" s="97" t="s">
        <v>568</v>
      </c>
    </row>
    <row r="501" spans="1:6" ht="16.5" x14ac:dyDescent="0.25">
      <c r="A501" s="26" t="s">
        <v>473</v>
      </c>
      <c r="B501" s="37">
        <v>15</v>
      </c>
      <c r="C501" s="101">
        <v>1000</v>
      </c>
      <c r="D501" s="100">
        <f>Tabla4[[#This Row],[CANTIDAD]]*Tabla4[[#This Row],[COSTO]]</f>
        <v>15000</v>
      </c>
      <c r="E501" s="51"/>
      <c r="F501" s="98" t="s">
        <v>568</v>
      </c>
    </row>
    <row r="502" spans="1:6" ht="16.5" x14ac:dyDescent="0.25">
      <c r="A502" s="82" t="s">
        <v>473</v>
      </c>
      <c r="B502" s="37">
        <v>15</v>
      </c>
      <c r="C502" s="99">
        <v>1000</v>
      </c>
      <c r="D502" s="100">
        <f>Tabla4[[#This Row],[CANTIDAD]]*Tabla4[[#This Row],[COSTO]]</f>
        <v>15000</v>
      </c>
      <c r="E502" s="106"/>
      <c r="F502" s="97" t="s">
        <v>568</v>
      </c>
    </row>
    <row r="503" spans="1:6" ht="16.5" x14ac:dyDescent="0.25">
      <c r="A503" s="16" t="s">
        <v>474</v>
      </c>
      <c r="B503" s="37">
        <v>4</v>
      </c>
      <c r="C503" s="101">
        <v>1510</v>
      </c>
      <c r="D503" s="100">
        <f>Tabla4[[#This Row],[CANTIDAD]]*Tabla4[[#This Row],[COSTO]]</f>
        <v>6040</v>
      </c>
      <c r="E503" s="47"/>
      <c r="F503" s="98" t="s">
        <v>568</v>
      </c>
    </row>
    <row r="504" spans="1:6" ht="16.5" x14ac:dyDescent="0.25">
      <c r="A504" s="27" t="s">
        <v>475</v>
      </c>
      <c r="B504" s="44">
        <v>6</v>
      </c>
      <c r="C504" s="99">
        <v>1400</v>
      </c>
      <c r="D504" s="100">
        <f>Tabla4[[#This Row],[CANTIDAD]]*Tabla4[[#This Row],[COSTO]]</f>
        <v>8400</v>
      </c>
      <c r="E504" s="107"/>
      <c r="F504" s="97" t="s">
        <v>568</v>
      </c>
    </row>
    <row r="505" spans="1:6" ht="16.5" x14ac:dyDescent="0.25">
      <c r="A505" s="26" t="s">
        <v>475</v>
      </c>
      <c r="B505" s="37">
        <v>6</v>
      </c>
      <c r="C505" s="101">
        <v>1400</v>
      </c>
      <c r="D505" s="100">
        <f>Tabla4[[#This Row],[CANTIDAD]]*Tabla4[[#This Row],[COSTO]]</f>
        <v>8400</v>
      </c>
      <c r="E505" s="106"/>
      <c r="F505" s="98" t="s">
        <v>568</v>
      </c>
    </row>
    <row r="506" spans="1:6" ht="16.5" x14ac:dyDescent="0.25">
      <c r="A506" s="82" t="s">
        <v>476</v>
      </c>
      <c r="B506" s="37">
        <v>5</v>
      </c>
      <c r="C506" s="99">
        <v>1200</v>
      </c>
      <c r="D506" s="100">
        <f>Tabla4[[#This Row],[CANTIDAD]]*Tabla4[[#This Row],[COSTO]]</f>
        <v>6000</v>
      </c>
      <c r="E506" s="51"/>
      <c r="F506" s="97" t="s">
        <v>568</v>
      </c>
    </row>
    <row r="507" spans="1:6" ht="16.5" x14ac:dyDescent="0.25">
      <c r="A507" s="26" t="s">
        <v>477</v>
      </c>
      <c r="B507" s="37">
        <v>5</v>
      </c>
      <c r="C507" s="101">
        <v>1200</v>
      </c>
      <c r="D507" s="100">
        <f>Tabla4[[#This Row],[CANTIDAD]]*Tabla4[[#This Row],[COSTO]]</f>
        <v>6000</v>
      </c>
      <c r="E507" s="106"/>
      <c r="F507" s="98" t="s">
        <v>568</v>
      </c>
    </row>
    <row r="508" spans="1:6" ht="16.5" x14ac:dyDescent="0.25">
      <c r="A508" s="27" t="s">
        <v>478</v>
      </c>
      <c r="B508" s="44">
        <v>4</v>
      </c>
      <c r="C508" s="99">
        <v>1310</v>
      </c>
      <c r="D508" s="100">
        <f>Tabla4[[#This Row],[CANTIDAD]]*Tabla4[[#This Row],[COSTO]]</f>
        <v>5240</v>
      </c>
      <c r="E508" s="107"/>
      <c r="F508" s="97" t="s">
        <v>568</v>
      </c>
    </row>
    <row r="509" spans="1:6" ht="16.5" x14ac:dyDescent="0.25">
      <c r="A509" s="26" t="s">
        <v>478</v>
      </c>
      <c r="B509" s="37">
        <v>4</v>
      </c>
      <c r="C509" s="101">
        <v>1310</v>
      </c>
      <c r="D509" s="100">
        <f>Tabla4[[#This Row],[CANTIDAD]]*Tabla4[[#This Row],[COSTO]]</f>
        <v>5240</v>
      </c>
      <c r="E509" s="106"/>
      <c r="F509" s="98" t="s">
        <v>568</v>
      </c>
    </row>
    <row r="510" spans="1:6" ht="16.5" x14ac:dyDescent="0.25">
      <c r="A510" s="81" t="s">
        <v>479</v>
      </c>
      <c r="B510" s="37">
        <v>1</v>
      </c>
      <c r="C510" s="99">
        <v>7140</v>
      </c>
      <c r="D510" s="100">
        <f>Tabla4[[#This Row],[CANTIDAD]]*Tabla4[[#This Row],[COSTO]]</f>
        <v>7140</v>
      </c>
      <c r="E510" s="47"/>
      <c r="F510" s="97" t="s">
        <v>568</v>
      </c>
    </row>
    <row r="511" spans="1:6" ht="16.5" x14ac:dyDescent="0.25">
      <c r="A511" s="31" t="s">
        <v>480</v>
      </c>
      <c r="B511" s="44">
        <v>2</v>
      </c>
      <c r="C511" s="101">
        <v>3910</v>
      </c>
      <c r="D511" s="100">
        <f>Tabla4[[#This Row],[CANTIDAD]]*Tabla4[[#This Row],[COSTO]]</f>
        <v>7820</v>
      </c>
      <c r="E511" s="59"/>
      <c r="F511" s="98" t="s">
        <v>568</v>
      </c>
    </row>
    <row r="512" spans="1:6" ht="16.5" x14ac:dyDescent="0.25">
      <c r="A512" s="81" t="s">
        <v>481</v>
      </c>
      <c r="B512" s="37">
        <v>2</v>
      </c>
      <c r="C512" s="99">
        <v>3910</v>
      </c>
      <c r="D512" s="100">
        <f>Tabla4[[#This Row],[CANTIDAD]]*Tabla4[[#This Row],[COSTO]]</f>
        <v>7820</v>
      </c>
      <c r="E512" s="53"/>
      <c r="F512" s="97" t="s">
        <v>568</v>
      </c>
    </row>
    <row r="513" spans="1:6" ht="16.5" x14ac:dyDescent="0.25">
      <c r="A513" s="31" t="s">
        <v>482</v>
      </c>
      <c r="B513" s="44">
        <v>3</v>
      </c>
      <c r="C513" s="101">
        <v>1370</v>
      </c>
      <c r="D513" s="100">
        <f>Tabla4[[#This Row],[CANTIDAD]]*Tabla4[[#This Row],[COSTO]]</f>
        <v>4110</v>
      </c>
      <c r="E513" s="59"/>
      <c r="F513" s="98" t="s">
        <v>568</v>
      </c>
    </row>
    <row r="514" spans="1:6" ht="16.5" x14ac:dyDescent="0.25">
      <c r="A514" s="81" t="s">
        <v>483</v>
      </c>
      <c r="B514" s="37">
        <v>2</v>
      </c>
      <c r="C514" s="99">
        <v>2660</v>
      </c>
      <c r="D514" s="100">
        <f>Tabla4[[#This Row],[CANTIDAD]]*Tabla4[[#This Row],[COSTO]]</f>
        <v>5320</v>
      </c>
      <c r="E514" s="53"/>
      <c r="F514" s="97" t="s">
        <v>568</v>
      </c>
    </row>
    <row r="515" spans="1:6" ht="16.5" x14ac:dyDescent="0.25">
      <c r="A515" s="31" t="s">
        <v>484</v>
      </c>
      <c r="B515" s="44">
        <v>2</v>
      </c>
      <c r="C515" s="101">
        <v>5480</v>
      </c>
      <c r="D515" s="100">
        <f>Tabla4[[#This Row],[CANTIDAD]]*Tabla4[[#This Row],[COSTO]]</f>
        <v>10960</v>
      </c>
      <c r="E515" s="59"/>
      <c r="F515" s="98" t="s">
        <v>568</v>
      </c>
    </row>
    <row r="516" spans="1:6" ht="16.5" x14ac:dyDescent="0.25">
      <c r="A516" s="81" t="s">
        <v>485</v>
      </c>
      <c r="B516" s="37">
        <v>1</v>
      </c>
      <c r="C516" s="99">
        <v>5480</v>
      </c>
      <c r="D516" s="100">
        <f>Tabla4[[#This Row],[CANTIDAD]]*Tabla4[[#This Row],[COSTO]]</f>
        <v>5480</v>
      </c>
      <c r="E516" s="51"/>
      <c r="F516" s="97" t="s">
        <v>568</v>
      </c>
    </row>
    <row r="517" spans="1:6" ht="16.5" x14ac:dyDescent="0.25">
      <c r="A517" s="16" t="s">
        <v>485</v>
      </c>
      <c r="B517" s="37">
        <v>2</v>
      </c>
      <c r="C517" s="101">
        <v>5480</v>
      </c>
      <c r="D517" s="100">
        <f>Tabla4[[#This Row],[CANTIDAD]]*Tabla4[[#This Row],[COSTO]]</f>
        <v>10960</v>
      </c>
      <c r="E517" s="50"/>
      <c r="F517" s="98" t="s">
        <v>568</v>
      </c>
    </row>
    <row r="518" spans="1:6" ht="16.5" x14ac:dyDescent="0.25">
      <c r="A518" s="81" t="s">
        <v>486</v>
      </c>
      <c r="B518" s="37">
        <v>1</v>
      </c>
      <c r="C518" s="99">
        <v>11500</v>
      </c>
      <c r="D518" s="100">
        <f>Tabla4[[#This Row],[CANTIDAD]]*Tabla4[[#This Row],[COSTO]]</f>
        <v>11500</v>
      </c>
      <c r="E518" s="51"/>
      <c r="F518" s="97" t="s">
        <v>568</v>
      </c>
    </row>
    <row r="519" spans="1:6" ht="16.5" x14ac:dyDescent="0.25">
      <c r="A519" s="23" t="s">
        <v>487</v>
      </c>
      <c r="B519" s="102">
        <v>10</v>
      </c>
      <c r="C519" s="101">
        <v>125</v>
      </c>
      <c r="D519" s="100">
        <f>Tabla4[[#This Row],[CANTIDAD]]*Tabla4[[#This Row],[COSTO]]</f>
        <v>1250</v>
      </c>
      <c r="E519" s="103"/>
      <c r="F519" s="98" t="s">
        <v>568</v>
      </c>
    </row>
    <row r="520" spans="1:6" ht="16.5" x14ac:dyDescent="0.25">
      <c r="A520" s="25" t="s">
        <v>488</v>
      </c>
      <c r="B520" s="104">
        <v>10</v>
      </c>
      <c r="C520" s="99">
        <v>180</v>
      </c>
      <c r="D520" s="100">
        <f>Tabla4[[#This Row],[CANTIDAD]]*Tabla4[[#This Row],[COSTO]]</f>
        <v>1800</v>
      </c>
      <c r="E520" s="105"/>
      <c r="F520" s="97" t="s">
        <v>568</v>
      </c>
    </row>
    <row r="521" spans="1:6" ht="16.5" x14ac:dyDescent="0.25">
      <c r="A521" s="25" t="s">
        <v>489</v>
      </c>
      <c r="B521" s="104">
        <v>6</v>
      </c>
      <c r="C521" s="101">
        <v>340</v>
      </c>
      <c r="D521" s="100">
        <f>Tabla4[[#This Row],[CANTIDAD]]*Tabla4[[#This Row],[COSTO]]</f>
        <v>2040</v>
      </c>
      <c r="E521" s="105"/>
      <c r="F521" s="98" t="s">
        <v>568</v>
      </c>
    </row>
    <row r="522" spans="1:6" ht="16.5" x14ac:dyDescent="0.25">
      <c r="A522" s="81" t="s">
        <v>491</v>
      </c>
      <c r="B522" s="37">
        <v>1</v>
      </c>
      <c r="C522" s="99">
        <v>50000</v>
      </c>
      <c r="D522" s="100">
        <f>Tabla4[[#This Row],[CANTIDAD]]*Tabla4[[#This Row],[COSTO]]</f>
        <v>50000</v>
      </c>
      <c r="E522" s="47"/>
      <c r="F522" s="97" t="s">
        <v>568</v>
      </c>
    </row>
    <row r="523" spans="1:6" ht="16.5" x14ac:dyDescent="0.25">
      <c r="A523" s="16" t="s">
        <v>492</v>
      </c>
      <c r="B523" s="37">
        <v>1</v>
      </c>
      <c r="C523" s="101">
        <v>8490</v>
      </c>
      <c r="D523" s="100">
        <f>Tabla4[[#This Row],[CANTIDAD]]*Tabla4[[#This Row],[COSTO]]</f>
        <v>8490</v>
      </c>
      <c r="E523" s="50"/>
      <c r="F523" s="98" t="s">
        <v>568</v>
      </c>
    </row>
    <row r="524" spans="1:6" ht="16.5" x14ac:dyDescent="0.25">
      <c r="A524" s="20" t="s">
        <v>492</v>
      </c>
      <c r="B524" s="39">
        <v>1</v>
      </c>
      <c r="C524" s="99">
        <v>8490</v>
      </c>
      <c r="D524" s="100">
        <f>Tabla4[[#This Row],[CANTIDAD]]*Tabla4[[#This Row],[COSTO]]</f>
        <v>8490</v>
      </c>
      <c r="E524" s="49"/>
      <c r="F524" s="97" t="s">
        <v>568</v>
      </c>
    </row>
    <row r="525" spans="1:6" ht="16.5" x14ac:dyDescent="0.25">
      <c r="A525" s="16" t="s">
        <v>493</v>
      </c>
      <c r="B525" s="37">
        <v>2</v>
      </c>
      <c r="C525" s="101">
        <v>1490</v>
      </c>
      <c r="D525" s="100">
        <f>Tabla4[[#This Row],[CANTIDAD]]*Tabla4[[#This Row],[COSTO]]</f>
        <v>2980</v>
      </c>
      <c r="E525" s="50"/>
      <c r="F525" s="98" t="s">
        <v>568</v>
      </c>
    </row>
    <row r="526" spans="1:6" ht="16.5" x14ac:dyDescent="0.25">
      <c r="A526" s="81" t="s">
        <v>494</v>
      </c>
      <c r="B526" s="37">
        <v>1</v>
      </c>
      <c r="C526" s="99">
        <v>5450</v>
      </c>
      <c r="D526" s="100">
        <f>Tabla4[[#This Row],[CANTIDAD]]*Tabla4[[#This Row],[COSTO]]</f>
        <v>5450</v>
      </c>
      <c r="E526" s="47"/>
      <c r="F526" s="97" t="s">
        <v>568</v>
      </c>
    </row>
    <row r="527" spans="1:6" ht="16.5" x14ac:dyDescent="0.25">
      <c r="A527" s="19" t="s">
        <v>494</v>
      </c>
      <c r="B527" s="38">
        <v>1</v>
      </c>
      <c r="C527" s="101">
        <v>5450</v>
      </c>
      <c r="D527" s="100">
        <f>Tabla4[[#This Row],[CANTIDAD]]*Tabla4[[#This Row],[COSTO]]</f>
        <v>5450</v>
      </c>
      <c r="E527" s="48"/>
      <c r="F527" s="98" t="s">
        <v>568</v>
      </c>
    </row>
    <row r="528" spans="1:6" ht="16.5" x14ac:dyDescent="0.25">
      <c r="A528" s="82" t="s">
        <v>494</v>
      </c>
      <c r="B528" s="37">
        <v>2</v>
      </c>
      <c r="C528" s="99">
        <v>5450</v>
      </c>
      <c r="D528" s="100">
        <f>Tabla4[[#This Row],[CANTIDAD]]*Tabla4[[#This Row],[COSTO]]</f>
        <v>10900</v>
      </c>
      <c r="E528" s="51"/>
      <c r="F528" s="97" t="s">
        <v>568</v>
      </c>
    </row>
    <row r="529" spans="1:6" ht="16.5" x14ac:dyDescent="0.25">
      <c r="A529" s="26" t="s">
        <v>494</v>
      </c>
      <c r="B529" s="37">
        <v>2</v>
      </c>
      <c r="C529" s="101">
        <v>5450</v>
      </c>
      <c r="D529" s="100">
        <f>Tabla4[[#This Row],[CANTIDAD]]*Tabla4[[#This Row],[COSTO]]</f>
        <v>10900</v>
      </c>
      <c r="E529" s="106"/>
      <c r="F529" s="98" t="s">
        <v>568</v>
      </c>
    </row>
    <row r="530" spans="1:6" ht="16.5" x14ac:dyDescent="0.25">
      <c r="A530" s="81" t="s">
        <v>495</v>
      </c>
      <c r="B530" s="37">
        <v>1</v>
      </c>
      <c r="C530" s="99">
        <v>9540</v>
      </c>
      <c r="D530" s="100">
        <f>Tabla4[[#This Row],[CANTIDAD]]*Tabla4[[#This Row],[COSTO]]</f>
        <v>9540</v>
      </c>
      <c r="E530" s="47"/>
      <c r="F530" s="97" t="s">
        <v>568</v>
      </c>
    </row>
    <row r="531" spans="1:6" ht="16.5" x14ac:dyDescent="0.25">
      <c r="A531" s="16" t="s">
        <v>495</v>
      </c>
      <c r="B531" s="37">
        <v>1</v>
      </c>
      <c r="C531" s="101">
        <v>9540</v>
      </c>
      <c r="D531" s="100">
        <f>Tabla4[[#This Row],[CANTIDAD]]*Tabla4[[#This Row],[COSTO]]</f>
        <v>9540</v>
      </c>
      <c r="E531" s="53"/>
      <c r="F531" s="98" t="s">
        <v>568</v>
      </c>
    </row>
    <row r="532" spans="1:6" ht="16.5" x14ac:dyDescent="0.25">
      <c r="A532" s="81" t="s">
        <v>496</v>
      </c>
      <c r="B532" s="37">
        <v>1</v>
      </c>
      <c r="C532" s="99">
        <v>13100</v>
      </c>
      <c r="D532" s="100">
        <f>Tabla4[[#This Row],[CANTIDAD]]*Tabla4[[#This Row],[COSTO]]</f>
        <v>13100</v>
      </c>
      <c r="E532" s="47"/>
      <c r="F532" s="97" t="s">
        <v>568</v>
      </c>
    </row>
    <row r="533" spans="1:6" ht="16.5" x14ac:dyDescent="0.25">
      <c r="A533" s="19" t="s">
        <v>496</v>
      </c>
      <c r="B533" s="38">
        <v>1</v>
      </c>
      <c r="C533" s="101">
        <v>13100</v>
      </c>
      <c r="D533" s="100">
        <f>Tabla4[[#This Row],[CANTIDAD]]*Tabla4[[#This Row],[COSTO]]</f>
        <v>13100</v>
      </c>
      <c r="E533" s="48"/>
      <c r="F533" s="98" t="s">
        <v>568</v>
      </c>
    </row>
    <row r="534" spans="1:6" ht="16.5" x14ac:dyDescent="0.25">
      <c r="A534" s="81" t="s">
        <v>497</v>
      </c>
      <c r="B534" s="37">
        <v>1</v>
      </c>
      <c r="C534" s="99">
        <v>1510</v>
      </c>
      <c r="D534" s="100">
        <f>Tabla4[[#This Row],[CANTIDAD]]*Tabla4[[#This Row],[COSTO]]</f>
        <v>1510</v>
      </c>
      <c r="E534" s="50"/>
      <c r="F534" s="97" t="s">
        <v>568</v>
      </c>
    </row>
    <row r="535" spans="1:6" ht="16.5" x14ac:dyDescent="0.25">
      <c r="A535" s="16" t="s">
        <v>498</v>
      </c>
      <c r="B535" s="37">
        <v>2</v>
      </c>
      <c r="C535" s="101">
        <v>1460</v>
      </c>
      <c r="D535" s="100">
        <f>Tabla4[[#This Row],[CANTIDAD]]*Tabla4[[#This Row],[COSTO]]</f>
        <v>2920</v>
      </c>
      <c r="E535" s="47"/>
      <c r="F535" s="98" t="s">
        <v>568</v>
      </c>
    </row>
    <row r="536" spans="1:6" ht="16.5" x14ac:dyDescent="0.25">
      <c r="A536" s="81" t="s">
        <v>499</v>
      </c>
      <c r="B536" s="37">
        <v>1</v>
      </c>
      <c r="C536" s="99">
        <v>1500</v>
      </c>
      <c r="D536" s="100">
        <f>Tabla4[[#This Row],[CANTIDAD]]*Tabla4[[#This Row],[COSTO]]</f>
        <v>1500</v>
      </c>
      <c r="E536" s="50"/>
      <c r="F536" s="97" t="s">
        <v>568</v>
      </c>
    </row>
    <row r="537" spans="1:6" ht="16.5" x14ac:dyDescent="0.25">
      <c r="A537" s="16" t="s">
        <v>500</v>
      </c>
      <c r="B537" s="37">
        <v>2</v>
      </c>
      <c r="C537" s="101">
        <v>1740</v>
      </c>
      <c r="D537" s="100">
        <f>Tabla4[[#This Row],[CANTIDAD]]*Tabla4[[#This Row],[COSTO]]</f>
        <v>3480</v>
      </c>
      <c r="E537" s="50"/>
      <c r="F537" s="98" t="s">
        <v>568</v>
      </c>
    </row>
    <row r="538" spans="1:6" ht="16.5" x14ac:dyDescent="0.25">
      <c r="A538" s="81" t="s">
        <v>501</v>
      </c>
      <c r="B538" s="37">
        <v>2</v>
      </c>
      <c r="C538" s="99">
        <v>1560</v>
      </c>
      <c r="D538" s="100">
        <f>Tabla4[[#This Row],[CANTIDAD]]*Tabla4[[#This Row],[COSTO]]</f>
        <v>3120</v>
      </c>
      <c r="E538" s="53"/>
      <c r="F538" s="97" t="s">
        <v>568</v>
      </c>
    </row>
    <row r="539" spans="1:6" ht="16.5" x14ac:dyDescent="0.25">
      <c r="A539" s="16" t="s">
        <v>502</v>
      </c>
      <c r="B539" s="37">
        <v>1</v>
      </c>
      <c r="C539" s="101">
        <v>2030</v>
      </c>
      <c r="D539" s="100">
        <f>Tabla4[[#This Row],[CANTIDAD]]*Tabla4[[#This Row],[COSTO]]</f>
        <v>2030</v>
      </c>
      <c r="E539" s="53"/>
      <c r="F539" s="98" t="s">
        <v>568</v>
      </c>
    </row>
    <row r="540" spans="1:6" ht="16.5" x14ac:dyDescent="0.25">
      <c r="A540" s="81" t="s">
        <v>503</v>
      </c>
      <c r="B540" s="37">
        <v>1</v>
      </c>
      <c r="C540" s="99">
        <v>2160</v>
      </c>
      <c r="D540" s="100">
        <f>Tabla4[[#This Row],[CANTIDAD]]*Tabla4[[#This Row],[COSTO]]</f>
        <v>2160</v>
      </c>
      <c r="E540" s="53"/>
      <c r="F540" s="97" t="s">
        <v>568</v>
      </c>
    </row>
    <row r="541" spans="1:6" ht="16.5" x14ac:dyDescent="0.25">
      <c r="A541" s="31" t="s">
        <v>504</v>
      </c>
      <c r="B541" s="44">
        <v>1</v>
      </c>
      <c r="C541" s="101">
        <v>2060</v>
      </c>
      <c r="D541" s="100">
        <f>Tabla4[[#This Row],[CANTIDAD]]*Tabla4[[#This Row],[COSTO]]</f>
        <v>2060</v>
      </c>
      <c r="E541" s="59"/>
      <c r="F541" s="98" t="s">
        <v>568</v>
      </c>
    </row>
    <row r="542" spans="1:6" ht="16.5" x14ac:dyDescent="0.25">
      <c r="A542" s="81" t="s">
        <v>505</v>
      </c>
      <c r="B542" s="37">
        <v>1</v>
      </c>
      <c r="C542" s="99">
        <v>2240</v>
      </c>
      <c r="D542" s="100">
        <f>Tabla4[[#This Row],[CANTIDAD]]*Tabla4[[#This Row],[COSTO]]</f>
        <v>2240</v>
      </c>
      <c r="E542" s="53"/>
      <c r="F542" s="97" t="s">
        <v>568</v>
      </c>
    </row>
    <row r="543" spans="1:6" ht="16.5" x14ac:dyDescent="0.25">
      <c r="A543" s="16" t="s">
        <v>506</v>
      </c>
      <c r="B543" s="37">
        <v>1</v>
      </c>
      <c r="C543" s="101">
        <v>1790</v>
      </c>
      <c r="D543" s="100">
        <f>Tabla4[[#This Row],[CANTIDAD]]*Tabla4[[#This Row],[COSTO]]</f>
        <v>1790</v>
      </c>
      <c r="E543" s="50"/>
      <c r="F543" s="98" t="s">
        <v>568</v>
      </c>
    </row>
    <row r="544" spans="1:6" ht="16.5" x14ac:dyDescent="0.25">
      <c r="A544" s="81" t="s">
        <v>507</v>
      </c>
      <c r="B544" s="37">
        <v>1</v>
      </c>
      <c r="C544" s="99">
        <v>1890</v>
      </c>
      <c r="D544" s="100">
        <f>Tabla4[[#This Row],[CANTIDAD]]*Tabla4[[#This Row],[COSTO]]</f>
        <v>1890</v>
      </c>
      <c r="E544" s="53"/>
      <c r="F544" s="97" t="s">
        <v>568</v>
      </c>
    </row>
    <row r="545" spans="1:6" ht="16.5" x14ac:dyDescent="0.25">
      <c r="A545" s="31" t="s">
        <v>508</v>
      </c>
      <c r="B545" s="44">
        <v>1</v>
      </c>
      <c r="C545" s="101">
        <v>2360</v>
      </c>
      <c r="D545" s="100">
        <f>Tabla4[[#This Row],[CANTIDAD]]*Tabla4[[#This Row],[COSTO]]</f>
        <v>2360</v>
      </c>
      <c r="E545" s="59"/>
      <c r="F545" s="98" t="s">
        <v>568</v>
      </c>
    </row>
    <row r="546" spans="1:6" ht="16.5" x14ac:dyDescent="0.25">
      <c r="A546" s="31" t="s">
        <v>509</v>
      </c>
      <c r="B546" s="44">
        <v>1</v>
      </c>
      <c r="C546" s="99">
        <v>1980</v>
      </c>
      <c r="D546" s="100">
        <f>Tabla4[[#This Row],[CANTIDAD]]*Tabla4[[#This Row],[COSTO]]</f>
        <v>1980</v>
      </c>
      <c r="E546" s="59"/>
      <c r="F546" s="97" t="s">
        <v>568</v>
      </c>
    </row>
    <row r="547" spans="1:6" ht="16.5" x14ac:dyDescent="0.25">
      <c r="A547" s="31" t="s">
        <v>510</v>
      </c>
      <c r="B547" s="44">
        <v>1</v>
      </c>
      <c r="C547" s="101">
        <v>2170</v>
      </c>
      <c r="D547" s="100">
        <f>Tabla4[[#This Row],[CANTIDAD]]*Tabla4[[#This Row],[COSTO]]</f>
        <v>2170</v>
      </c>
      <c r="E547" s="59"/>
      <c r="F547" s="98" t="s">
        <v>568</v>
      </c>
    </row>
    <row r="548" spans="1:6" ht="16.5" x14ac:dyDescent="0.25">
      <c r="A548" s="81" t="s">
        <v>511</v>
      </c>
      <c r="B548" s="37">
        <v>1</v>
      </c>
      <c r="C548" s="99">
        <v>2900</v>
      </c>
      <c r="D548" s="100">
        <f>Tabla4[[#This Row],[CANTIDAD]]*Tabla4[[#This Row],[COSTO]]</f>
        <v>2900</v>
      </c>
      <c r="E548" s="53"/>
      <c r="F548" s="97" t="s">
        <v>568</v>
      </c>
    </row>
    <row r="549" spans="1:6" ht="16.5" x14ac:dyDescent="0.25">
      <c r="A549" s="31" t="s">
        <v>512</v>
      </c>
      <c r="B549" s="44">
        <v>1</v>
      </c>
      <c r="C549" s="101">
        <v>2260</v>
      </c>
      <c r="D549" s="100">
        <f>Tabla4[[#This Row],[CANTIDAD]]*Tabla4[[#This Row],[COSTO]]</f>
        <v>2260</v>
      </c>
      <c r="E549" s="59"/>
      <c r="F549" s="98" t="s">
        <v>568</v>
      </c>
    </row>
    <row r="550" spans="1:6" ht="16.5" x14ac:dyDescent="0.25">
      <c r="A550" s="81" t="s">
        <v>513</v>
      </c>
      <c r="B550" s="37">
        <v>1</v>
      </c>
      <c r="C550" s="99">
        <v>2360</v>
      </c>
      <c r="D550" s="100">
        <f>Tabla4[[#This Row],[CANTIDAD]]*Tabla4[[#This Row],[COSTO]]</f>
        <v>2360</v>
      </c>
      <c r="E550" s="53"/>
      <c r="F550" s="97" t="s">
        <v>568</v>
      </c>
    </row>
    <row r="551" spans="1:6" ht="16.5" x14ac:dyDescent="0.25">
      <c r="A551" s="31" t="s">
        <v>514</v>
      </c>
      <c r="B551" s="44">
        <v>1</v>
      </c>
      <c r="C551" s="101">
        <v>2740</v>
      </c>
      <c r="D551" s="100">
        <f>Tabla4[[#This Row],[CANTIDAD]]*Tabla4[[#This Row],[COSTO]]</f>
        <v>2740</v>
      </c>
      <c r="E551" s="59"/>
      <c r="F551" s="98" t="s">
        <v>568</v>
      </c>
    </row>
    <row r="552" spans="1:6" ht="16.5" x14ac:dyDescent="0.25">
      <c r="A552" s="81" t="s">
        <v>515</v>
      </c>
      <c r="B552" s="37">
        <v>2</v>
      </c>
      <c r="C552" s="99">
        <v>1320</v>
      </c>
      <c r="D552" s="100">
        <f>Tabla4[[#This Row],[CANTIDAD]]*Tabla4[[#This Row],[COSTO]]</f>
        <v>2640</v>
      </c>
      <c r="E552" s="50"/>
      <c r="F552" s="97" t="s">
        <v>568</v>
      </c>
    </row>
    <row r="553" spans="1:6" ht="16.5" x14ac:dyDescent="0.25">
      <c r="A553" s="23" t="s">
        <v>516</v>
      </c>
      <c r="B553" s="102">
        <v>8</v>
      </c>
      <c r="C553" s="101">
        <v>510</v>
      </c>
      <c r="D553" s="100">
        <f>Tabla4[[#This Row],[CANTIDAD]]*Tabla4[[#This Row],[COSTO]]</f>
        <v>4080</v>
      </c>
      <c r="E553" s="103"/>
      <c r="F553" s="98" t="s">
        <v>568</v>
      </c>
    </row>
    <row r="554" spans="1:6" ht="16.5" x14ac:dyDescent="0.25">
      <c r="A554" s="81" t="s">
        <v>517</v>
      </c>
      <c r="B554" s="37">
        <v>6</v>
      </c>
      <c r="C554" s="99">
        <v>870</v>
      </c>
      <c r="D554" s="100">
        <f>Tabla4[[#This Row],[CANTIDAD]]*Tabla4[[#This Row],[COSTO]]</f>
        <v>5220</v>
      </c>
      <c r="E554" s="47"/>
      <c r="F554" s="97" t="s">
        <v>568</v>
      </c>
    </row>
    <row r="555" spans="1:6" ht="16.5" x14ac:dyDescent="0.25">
      <c r="A555" s="16" t="s">
        <v>518</v>
      </c>
      <c r="B555" s="37">
        <v>6</v>
      </c>
      <c r="C555" s="101">
        <v>780</v>
      </c>
      <c r="D555" s="100">
        <f>Tabla4[[#This Row],[CANTIDAD]]*Tabla4[[#This Row],[COSTO]]</f>
        <v>4680</v>
      </c>
      <c r="E555" s="47"/>
      <c r="F555" s="98" t="s">
        <v>568</v>
      </c>
    </row>
    <row r="556" spans="1:6" ht="16.5" x14ac:dyDescent="0.25">
      <c r="A556" s="81" t="s">
        <v>519</v>
      </c>
      <c r="B556" s="37">
        <v>4</v>
      </c>
      <c r="C556" s="99">
        <v>860</v>
      </c>
      <c r="D556" s="100">
        <f>Tabla4[[#This Row],[CANTIDAD]]*Tabla4[[#This Row],[COSTO]]</f>
        <v>3440</v>
      </c>
      <c r="E556" s="47"/>
      <c r="F556" s="97" t="s">
        <v>569</v>
      </c>
    </row>
    <row r="557" spans="1:6" ht="26.25" x14ac:dyDescent="0.25">
      <c r="A557" s="25" t="s">
        <v>521</v>
      </c>
      <c r="B557" s="104">
        <v>1</v>
      </c>
      <c r="C557" s="101">
        <v>2990</v>
      </c>
      <c r="D557" s="100">
        <f>Tabla4[[#This Row],[CANTIDAD]]*Tabla4[[#This Row],[COSTO]]</f>
        <v>2990</v>
      </c>
      <c r="E557" s="105"/>
      <c r="F557" s="98" t="s">
        <v>568</v>
      </c>
    </row>
    <row r="558" spans="1:6" ht="16.5" x14ac:dyDescent="0.25">
      <c r="A558" s="81" t="s">
        <v>522</v>
      </c>
      <c r="B558" s="37">
        <v>3</v>
      </c>
      <c r="C558" s="99">
        <v>610</v>
      </c>
      <c r="D558" s="100">
        <f>Tabla4[[#This Row],[CANTIDAD]]*Tabla4[[#This Row],[COSTO]]</f>
        <v>1830</v>
      </c>
      <c r="E558" s="50"/>
      <c r="F558" s="97" t="s">
        <v>568</v>
      </c>
    </row>
    <row r="559" spans="1:6" ht="16.5" x14ac:dyDescent="0.25">
      <c r="A559" s="16" t="s">
        <v>523</v>
      </c>
      <c r="B559" s="37">
        <v>3</v>
      </c>
      <c r="C559" s="101">
        <v>610</v>
      </c>
      <c r="D559" s="100">
        <f>Tabla4[[#This Row],[CANTIDAD]]*Tabla4[[#This Row],[COSTO]]</f>
        <v>1830</v>
      </c>
      <c r="E559" s="50"/>
      <c r="F559" s="98" t="s">
        <v>568</v>
      </c>
    </row>
    <row r="560" spans="1:6" ht="16.5" x14ac:dyDescent="0.25">
      <c r="A560" s="81" t="s">
        <v>524</v>
      </c>
      <c r="B560" s="37">
        <v>1</v>
      </c>
      <c r="C560" s="99">
        <v>33380</v>
      </c>
      <c r="D560" s="100">
        <f>Tabla4[[#This Row],[CANTIDAD]]*Tabla4[[#This Row],[COSTO]]</f>
        <v>33380</v>
      </c>
      <c r="E560" s="47"/>
      <c r="F560" s="97" t="s">
        <v>569</v>
      </c>
    </row>
    <row r="561" spans="1:6" ht="16.5" x14ac:dyDescent="0.25">
      <c r="A561" s="16" t="s">
        <v>525</v>
      </c>
      <c r="B561" s="37">
        <v>5</v>
      </c>
      <c r="C561" s="101">
        <v>2900</v>
      </c>
      <c r="D561" s="100">
        <f>Tabla4[[#This Row],[CANTIDAD]]*Tabla4[[#This Row],[COSTO]]</f>
        <v>14500</v>
      </c>
      <c r="E561" s="47"/>
      <c r="F561" s="98" t="s">
        <v>569</v>
      </c>
    </row>
    <row r="562" spans="1:6" ht="16.5" x14ac:dyDescent="0.25">
      <c r="A562" s="19" t="s">
        <v>525</v>
      </c>
      <c r="B562" s="38">
        <v>5</v>
      </c>
      <c r="C562" s="99">
        <v>580</v>
      </c>
      <c r="D562" s="100">
        <f>Tabla4[[#This Row],[CANTIDAD]]*Tabla4[[#This Row],[COSTO]]</f>
        <v>2900</v>
      </c>
      <c r="E562" s="48"/>
      <c r="F562" s="97" t="s">
        <v>568</v>
      </c>
    </row>
    <row r="563" spans="1:6" ht="16.5" x14ac:dyDescent="0.25">
      <c r="A563" s="16" t="s">
        <v>526</v>
      </c>
      <c r="B563" s="37">
        <v>15</v>
      </c>
      <c r="C563" s="101">
        <v>6000</v>
      </c>
      <c r="D563" s="100">
        <f>Tabla4[[#This Row],[CANTIDAD]]*Tabla4[[#This Row],[COSTO]]</f>
        <v>90000</v>
      </c>
      <c r="E563" s="47"/>
      <c r="F563" s="98" t="s">
        <v>568</v>
      </c>
    </row>
    <row r="564" spans="1:6" ht="16.5" x14ac:dyDescent="0.25">
      <c r="A564" s="81" t="s">
        <v>526</v>
      </c>
      <c r="B564" s="37">
        <v>15</v>
      </c>
      <c r="C564" s="99">
        <v>400</v>
      </c>
      <c r="D564" s="100">
        <f>Tabla4[[#This Row],[CANTIDAD]]*Tabla4[[#This Row],[COSTO]]</f>
        <v>6000</v>
      </c>
      <c r="E564" s="53"/>
      <c r="F564" s="97" t="s">
        <v>568</v>
      </c>
    </row>
    <row r="565" spans="1:6" ht="16.5" x14ac:dyDescent="0.25">
      <c r="A565" s="16" t="s">
        <v>527</v>
      </c>
      <c r="B565" s="37">
        <v>1</v>
      </c>
      <c r="C565" s="101">
        <v>2380</v>
      </c>
      <c r="D565" s="100">
        <f>Tabla4[[#This Row],[CANTIDAD]]*Tabla4[[#This Row],[COSTO]]</f>
        <v>2380</v>
      </c>
      <c r="E565" s="51"/>
      <c r="F565" s="98" t="s">
        <v>568</v>
      </c>
    </row>
    <row r="566" spans="1:6" ht="16.5" x14ac:dyDescent="0.25">
      <c r="A566" s="81" t="s">
        <v>528</v>
      </c>
      <c r="B566" s="37">
        <v>10</v>
      </c>
      <c r="C566" s="99">
        <v>300</v>
      </c>
      <c r="D566" s="100">
        <f>Tabla4[[#This Row],[CANTIDAD]]*Tabla4[[#This Row],[COSTO]]</f>
        <v>3000</v>
      </c>
      <c r="E566" s="47"/>
      <c r="F566" s="97" t="s">
        <v>568</v>
      </c>
    </row>
    <row r="567" spans="1:6" ht="16.5" x14ac:dyDescent="0.25">
      <c r="A567" s="23" t="s">
        <v>529</v>
      </c>
      <c r="B567" s="102">
        <v>4</v>
      </c>
      <c r="C567" s="101">
        <v>790</v>
      </c>
      <c r="D567" s="100">
        <f>Tabla4[[#This Row],[CANTIDAD]]*Tabla4[[#This Row],[COSTO]]</f>
        <v>3160</v>
      </c>
      <c r="E567" s="103"/>
      <c r="F567" s="98" t="s">
        <v>568</v>
      </c>
    </row>
    <row r="568" spans="1:6" ht="16.5" x14ac:dyDescent="0.25">
      <c r="A568" s="81" t="s">
        <v>530</v>
      </c>
      <c r="B568" s="37">
        <v>3</v>
      </c>
      <c r="C568" s="99">
        <v>1160</v>
      </c>
      <c r="D568" s="100">
        <f>Tabla4[[#This Row],[CANTIDAD]]*Tabla4[[#This Row],[COSTO]]</f>
        <v>3480</v>
      </c>
      <c r="E568" s="50"/>
      <c r="F568" s="97" t="s">
        <v>568</v>
      </c>
    </row>
    <row r="569" spans="1:6" ht="16.5" x14ac:dyDescent="0.25">
      <c r="A569" s="31" t="s">
        <v>530</v>
      </c>
      <c r="B569" s="44">
        <v>3</v>
      </c>
      <c r="C569" s="101">
        <v>1160</v>
      </c>
      <c r="D569" s="100">
        <f>Tabla4[[#This Row],[CANTIDAD]]*Tabla4[[#This Row],[COSTO]]</f>
        <v>3480</v>
      </c>
      <c r="E569" s="59"/>
      <c r="F569" s="98" t="s">
        <v>568</v>
      </c>
    </row>
    <row r="570" spans="1:6" ht="16.5" x14ac:dyDescent="0.25">
      <c r="A570" s="81" t="s">
        <v>531</v>
      </c>
      <c r="B570" s="37">
        <v>3</v>
      </c>
      <c r="C570" s="99">
        <v>710</v>
      </c>
      <c r="D570" s="100">
        <f>Tabla4[[#This Row],[CANTIDAD]]*Tabla4[[#This Row],[COSTO]]</f>
        <v>2130</v>
      </c>
      <c r="E570" s="47"/>
      <c r="F570" s="97" t="s">
        <v>568</v>
      </c>
    </row>
    <row r="571" spans="1:6" ht="16.5" x14ac:dyDescent="0.25">
      <c r="A571" s="20" t="s">
        <v>532</v>
      </c>
      <c r="B571" s="39">
        <v>3</v>
      </c>
      <c r="C571" s="101">
        <v>690</v>
      </c>
      <c r="D571" s="100">
        <f>Tabla4[[#This Row],[CANTIDAD]]*Tabla4[[#This Row],[COSTO]]</f>
        <v>2070</v>
      </c>
      <c r="E571" s="49"/>
      <c r="F571" s="98" t="s">
        <v>568</v>
      </c>
    </row>
    <row r="572" spans="1:6" ht="16.5" x14ac:dyDescent="0.25">
      <c r="A572" s="81" t="s">
        <v>533</v>
      </c>
      <c r="B572" s="37">
        <v>3</v>
      </c>
      <c r="C572" s="99">
        <v>740</v>
      </c>
      <c r="D572" s="100">
        <f>Tabla4[[#This Row],[CANTIDAD]]*Tabla4[[#This Row],[COSTO]]</f>
        <v>2220</v>
      </c>
      <c r="E572" s="47"/>
      <c r="F572" s="97" t="s">
        <v>569</v>
      </c>
    </row>
    <row r="573" spans="1:6" ht="16.5" x14ac:dyDescent="0.25">
      <c r="A573" s="16" t="s">
        <v>534</v>
      </c>
      <c r="B573" s="37">
        <v>5</v>
      </c>
      <c r="C573" s="101">
        <v>4350</v>
      </c>
      <c r="D573" s="100">
        <f>Tabla4[[#This Row],[CANTIDAD]]*Tabla4[[#This Row],[COSTO]]</f>
        <v>21750</v>
      </c>
      <c r="E573" s="47"/>
      <c r="F573" s="98" t="s">
        <v>569</v>
      </c>
    </row>
    <row r="574" spans="1:6" ht="16.5" x14ac:dyDescent="0.25">
      <c r="A574" s="19" t="s">
        <v>534</v>
      </c>
      <c r="B574" s="38">
        <v>5</v>
      </c>
      <c r="C574" s="99">
        <v>870</v>
      </c>
      <c r="D574" s="100">
        <f>Tabla4[[#This Row],[CANTIDAD]]*Tabla4[[#This Row],[COSTO]]</f>
        <v>4350</v>
      </c>
      <c r="E574" s="48"/>
      <c r="F574" s="97" t="s">
        <v>569</v>
      </c>
    </row>
    <row r="575" spans="1:6" ht="16.5" x14ac:dyDescent="0.25">
      <c r="A575" s="26" t="s">
        <v>535</v>
      </c>
      <c r="B575" s="37">
        <v>3</v>
      </c>
      <c r="C575" s="101">
        <v>860</v>
      </c>
      <c r="D575" s="100">
        <f>Tabla4[[#This Row],[CANTIDAD]]*Tabla4[[#This Row],[COSTO]]</f>
        <v>2580</v>
      </c>
      <c r="E575" s="51"/>
      <c r="F575" s="98" t="s">
        <v>569</v>
      </c>
    </row>
    <row r="576" spans="1:6" ht="16.5" x14ac:dyDescent="0.25">
      <c r="A576" s="82" t="s">
        <v>535</v>
      </c>
      <c r="B576" s="37">
        <v>3</v>
      </c>
      <c r="C576" s="99">
        <v>860</v>
      </c>
      <c r="D576" s="100">
        <f>Tabla4[[#This Row],[CANTIDAD]]*Tabla4[[#This Row],[COSTO]]</f>
        <v>2580</v>
      </c>
      <c r="E576" s="106"/>
      <c r="F576" s="97" t="s">
        <v>569</v>
      </c>
    </row>
    <row r="577" spans="1:6" ht="16.5" x14ac:dyDescent="0.25">
      <c r="A577" s="16" t="s">
        <v>535</v>
      </c>
      <c r="B577" s="37">
        <v>5</v>
      </c>
      <c r="C577" s="101">
        <v>860</v>
      </c>
      <c r="D577" s="100">
        <f>Tabla4[[#This Row],[CANTIDAD]]*Tabla4[[#This Row],[COSTO]]</f>
        <v>4300</v>
      </c>
      <c r="E577" s="53"/>
      <c r="F577" s="98" t="s">
        <v>569</v>
      </c>
    </row>
    <row r="578" spans="1:6" ht="16.5" x14ac:dyDescent="0.25">
      <c r="A578" s="81" t="s">
        <v>536</v>
      </c>
      <c r="B578" s="37">
        <v>5</v>
      </c>
      <c r="C578" s="99">
        <v>4300</v>
      </c>
      <c r="D578" s="100">
        <f>Tabla4[[#This Row],[CANTIDAD]]*Tabla4[[#This Row],[COSTO]]</f>
        <v>21500</v>
      </c>
      <c r="E578" s="47"/>
      <c r="F578" s="97" t="s">
        <v>568</v>
      </c>
    </row>
    <row r="579" spans="1:6" ht="16.5" x14ac:dyDescent="0.25">
      <c r="A579" s="16" t="s">
        <v>537</v>
      </c>
      <c r="B579" s="37">
        <v>6</v>
      </c>
      <c r="C579" s="101">
        <v>360</v>
      </c>
      <c r="D579" s="100">
        <f>Tabla4[[#This Row],[CANTIDAD]]*Tabla4[[#This Row],[COSTO]]</f>
        <v>2160</v>
      </c>
      <c r="E579" s="47"/>
      <c r="F579" s="98" t="s">
        <v>568</v>
      </c>
    </row>
    <row r="580" spans="1:6" ht="16.5" x14ac:dyDescent="0.25">
      <c r="A580" s="81" t="s">
        <v>538</v>
      </c>
      <c r="B580" s="37">
        <v>3</v>
      </c>
      <c r="C580" s="99">
        <v>860</v>
      </c>
      <c r="D580" s="100">
        <f>Tabla4[[#This Row],[CANTIDAD]]*Tabla4[[#This Row],[COSTO]]</f>
        <v>2580</v>
      </c>
      <c r="E580" s="50"/>
      <c r="F580" s="97" t="s">
        <v>568</v>
      </c>
    </row>
    <row r="581" spans="1:6" ht="16.5" x14ac:dyDescent="0.25">
      <c r="A581" s="16" t="s">
        <v>539</v>
      </c>
      <c r="B581" s="37">
        <v>1</v>
      </c>
      <c r="C581" s="101">
        <v>11920</v>
      </c>
      <c r="D581" s="100">
        <f>Tabla4[[#This Row],[CANTIDAD]]*Tabla4[[#This Row],[COSTO]]</f>
        <v>11920</v>
      </c>
      <c r="E581" s="47"/>
      <c r="F581" s="98" t="s">
        <v>568</v>
      </c>
    </row>
    <row r="582" spans="1:6" ht="16.5" x14ac:dyDescent="0.25">
      <c r="A582" s="27" t="s">
        <v>540</v>
      </c>
      <c r="B582" s="44">
        <v>5</v>
      </c>
      <c r="C582" s="99">
        <v>1080</v>
      </c>
      <c r="D582" s="100">
        <f>Tabla4[[#This Row],[CANTIDAD]]*Tabla4[[#This Row],[COSTO]]</f>
        <v>5400</v>
      </c>
      <c r="E582" s="107"/>
      <c r="F582" s="97" t="s">
        <v>568</v>
      </c>
    </row>
    <row r="583" spans="1:6" ht="16.5" x14ac:dyDescent="0.25">
      <c r="A583" s="26" t="s">
        <v>541</v>
      </c>
      <c r="B583" s="37">
        <v>5</v>
      </c>
      <c r="C583" s="101">
        <v>1080</v>
      </c>
      <c r="D583" s="100">
        <f>Tabla4[[#This Row],[CANTIDAD]]*Tabla4[[#This Row],[COSTO]]</f>
        <v>5400</v>
      </c>
      <c r="E583" s="106"/>
      <c r="F583" s="98" t="s">
        <v>568</v>
      </c>
    </row>
    <row r="584" spans="1:6" ht="16.5" x14ac:dyDescent="0.25">
      <c r="A584" s="25" t="s">
        <v>542</v>
      </c>
      <c r="B584" s="104">
        <v>2</v>
      </c>
      <c r="C584" s="99">
        <v>1540</v>
      </c>
      <c r="D584" s="100">
        <f>Tabla4[[#This Row],[CANTIDAD]]*Tabla4[[#This Row],[COSTO]]</f>
        <v>3080</v>
      </c>
      <c r="E584" s="105"/>
      <c r="F584" s="97" t="s">
        <v>568</v>
      </c>
    </row>
    <row r="585" spans="1:6" ht="16.5" x14ac:dyDescent="0.25">
      <c r="A585" s="23" t="s">
        <v>543</v>
      </c>
      <c r="B585" s="102">
        <v>2</v>
      </c>
      <c r="C585" s="101">
        <v>1490</v>
      </c>
      <c r="D585" s="100">
        <f>Tabla4[[#This Row],[CANTIDAD]]*Tabla4[[#This Row],[COSTO]]</f>
        <v>2980</v>
      </c>
      <c r="E585" s="103"/>
      <c r="F585" s="98" t="s">
        <v>568</v>
      </c>
    </row>
    <row r="586" spans="1:6" ht="16.5" x14ac:dyDescent="0.25">
      <c r="A586" s="25" t="s">
        <v>544</v>
      </c>
      <c r="B586" s="104">
        <v>2</v>
      </c>
      <c r="C586" s="99">
        <v>1490</v>
      </c>
      <c r="D586" s="100">
        <f>Tabla4[[#This Row],[CANTIDAD]]*Tabla4[[#This Row],[COSTO]]</f>
        <v>2980</v>
      </c>
      <c r="E586" s="105"/>
      <c r="F586" s="97" t="s">
        <v>568</v>
      </c>
    </row>
    <row r="587" spans="1:6" ht="16.5" x14ac:dyDescent="0.25">
      <c r="A587" s="23" t="s">
        <v>545</v>
      </c>
      <c r="B587" s="102">
        <v>2</v>
      </c>
      <c r="C587" s="101">
        <v>1250</v>
      </c>
      <c r="D587" s="100">
        <f>Tabla4[[#This Row],[CANTIDAD]]*Tabla4[[#This Row],[COSTO]]</f>
        <v>2500</v>
      </c>
      <c r="E587" s="103"/>
      <c r="F587" s="98" t="s">
        <v>568</v>
      </c>
    </row>
    <row r="588" spans="1:6" ht="16.5" x14ac:dyDescent="0.25">
      <c r="A588" s="23" t="s">
        <v>546</v>
      </c>
      <c r="B588" s="102">
        <v>1</v>
      </c>
      <c r="C588" s="99">
        <v>1490</v>
      </c>
      <c r="D588" s="100">
        <f>Tabla4[[#This Row],[CANTIDAD]]*Tabla4[[#This Row],[COSTO]]</f>
        <v>1490</v>
      </c>
      <c r="E588" s="103"/>
      <c r="F588" s="97" t="s">
        <v>568</v>
      </c>
    </row>
    <row r="589" spans="1:6" ht="16.5" x14ac:dyDescent="0.25">
      <c r="A589" s="25" t="s">
        <v>547</v>
      </c>
      <c r="B589" s="104">
        <v>2</v>
      </c>
      <c r="C589" s="101">
        <v>1250</v>
      </c>
      <c r="D589" s="100">
        <f>Tabla4[[#This Row],[CANTIDAD]]*Tabla4[[#This Row],[COSTO]]</f>
        <v>2500</v>
      </c>
      <c r="E589" s="105"/>
      <c r="F589" s="98" t="s">
        <v>568</v>
      </c>
    </row>
    <row r="590" spans="1:6" ht="16.5" x14ac:dyDescent="0.25">
      <c r="A590" s="23" t="s">
        <v>548</v>
      </c>
      <c r="B590" s="102">
        <v>3</v>
      </c>
      <c r="C590" s="99">
        <v>700</v>
      </c>
      <c r="D590" s="100">
        <f>Tabla4[[#This Row],[CANTIDAD]]*Tabla4[[#This Row],[COSTO]]</f>
        <v>2100</v>
      </c>
      <c r="E590" s="103"/>
      <c r="F590" s="97" t="s">
        <v>568</v>
      </c>
    </row>
    <row r="591" spans="1:6" ht="16.5" x14ac:dyDescent="0.25">
      <c r="A591" s="16" t="s">
        <v>549</v>
      </c>
      <c r="B591" s="37">
        <v>2</v>
      </c>
      <c r="C591" s="101">
        <v>1490</v>
      </c>
      <c r="D591" s="100">
        <f>Tabla4[[#This Row],[CANTIDAD]]*Tabla4[[#This Row],[COSTO]]</f>
        <v>2980</v>
      </c>
      <c r="E591" s="50"/>
      <c r="F591" s="98" t="s">
        <v>568</v>
      </c>
    </row>
    <row r="592" spans="1:6" ht="16.5" x14ac:dyDescent="0.25">
      <c r="A592" s="81" t="s">
        <v>550</v>
      </c>
      <c r="B592" s="37">
        <v>10</v>
      </c>
      <c r="C592" s="99">
        <v>5500</v>
      </c>
      <c r="D592" s="100">
        <f>Tabla4[[#This Row],[CANTIDAD]]*Tabla4[[#This Row],[COSTO]]</f>
        <v>55000</v>
      </c>
      <c r="E592" s="47"/>
      <c r="F592" s="97" t="s">
        <v>568</v>
      </c>
    </row>
    <row r="593" spans="1:6" ht="16.5" x14ac:dyDescent="0.25">
      <c r="A593" s="16" t="s">
        <v>550</v>
      </c>
      <c r="B593" s="37">
        <v>10</v>
      </c>
      <c r="C593" s="101">
        <v>550</v>
      </c>
      <c r="D593" s="100">
        <f>Tabla4[[#This Row],[CANTIDAD]]*Tabla4[[#This Row],[COSTO]]</f>
        <v>5500</v>
      </c>
      <c r="E593" s="53"/>
      <c r="F593" s="98" t="s">
        <v>568</v>
      </c>
    </row>
    <row r="594" spans="1:6" ht="16.5" x14ac:dyDescent="0.25">
      <c r="A594" s="81" t="s">
        <v>551</v>
      </c>
      <c r="B594" s="37">
        <v>15</v>
      </c>
      <c r="C594" s="99">
        <v>5700</v>
      </c>
      <c r="D594" s="100">
        <f>Tabla4[[#This Row],[CANTIDAD]]*Tabla4[[#This Row],[COSTO]]</f>
        <v>85500</v>
      </c>
      <c r="E594" s="47"/>
      <c r="F594" s="97" t="s">
        <v>568</v>
      </c>
    </row>
    <row r="595" spans="1:6" ht="16.5" x14ac:dyDescent="0.25">
      <c r="A595" s="19" t="s">
        <v>551</v>
      </c>
      <c r="B595" s="38">
        <v>15</v>
      </c>
      <c r="C595" s="101">
        <v>380</v>
      </c>
      <c r="D595" s="100">
        <f>Tabla4[[#This Row],[CANTIDAD]]*Tabla4[[#This Row],[COSTO]]</f>
        <v>5700</v>
      </c>
      <c r="E595" s="48"/>
      <c r="F595" s="98" t="s">
        <v>568</v>
      </c>
    </row>
    <row r="596" spans="1:6" ht="16.5" x14ac:dyDescent="0.25">
      <c r="A596" s="82" t="s">
        <v>552</v>
      </c>
      <c r="B596" s="37">
        <v>6</v>
      </c>
      <c r="C596" s="99">
        <v>970</v>
      </c>
      <c r="D596" s="100">
        <f>Tabla4[[#This Row],[CANTIDAD]]*Tabla4[[#This Row],[COSTO]]</f>
        <v>5820</v>
      </c>
      <c r="E596" s="51"/>
      <c r="F596" s="97" t="s">
        <v>568</v>
      </c>
    </row>
    <row r="597" spans="1:6" ht="16.5" x14ac:dyDescent="0.25">
      <c r="A597" s="26" t="s">
        <v>552</v>
      </c>
      <c r="B597" s="37">
        <v>6</v>
      </c>
      <c r="C597" s="101">
        <v>970</v>
      </c>
      <c r="D597" s="100">
        <f>Tabla4[[#This Row],[CANTIDAD]]*Tabla4[[#This Row],[COSTO]]</f>
        <v>5820</v>
      </c>
      <c r="E597" s="106"/>
      <c r="F597" s="98" t="s">
        <v>568</v>
      </c>
    </row>
    <row r="598" spans="1:6" ht="16.5" x14ac:dyDescent="0.25">
      <c r="A598" s="27" t="s">
        <v>554</v>
      </c>
      <c r="B598" s="44">
        <v>10</v>
      </c>
      <c r="C598" s="99">
        <v>540</v>
      </c>
      <c r="D598" s="100">
        <f>Tabla4[[#This Row],[CANTIDAD]]*Tabla4[[#This Row],[COSTO]]</f>
        <v>5400</v>
      </c>
      <c r="E598" s="107"/>
      <c r="F598" s="97" t="s">
        <v>568</v>
      </c>
    </row>
    <row r="599" spans="1:6" ht="16.5" x14ac:dyDescent="0.25">
      <c r="A599" s="26" t="s">
        <v>554</v>
      </c>
      <c r="B599" s="37">
        <v>10</v>
      </c>
      <c r="C599" s="101">
        <v>540</v>
      </c>
      <c r="D599" s="100">
        <f>Tabla4[[#This Row],[CANTIDAD]]*Tabla4[[#This Row],[COSTO]]</f>
        <v>5400</v>
      </c>
      <c r="E599" s="106"/>
      <c r="F599" s="98" t="s">
        <v>568</v>
      </c>
    </row>
    <row r="600" spans="1:6" ht="16.5" x14ac:dyDescent="0.25">
      <c r="A600" s="81" t="s">
        <v>555</v>
      </c>
      <c r="B600" s="37">
        <v>4</v>
      </c>
      <c r="C600" s="99">
        <v>380</v>
      </c>
      <c r="D600" s="100">
        <f>Tabla4[[#This Row],[CANTIDAD]]*Tabla4[[#This Row],[COSTO]]</f>
        <v>1520</v>
      </c>
      <c r="E600" s="53"/>
      <c r="F600" s="97" t="s">
        <v>568</v>
      </c>
    </row>
    <row r="601" spans="1:6" ht="16.5" x14ac:dyDescent="0.25">
      <c r="A601" s="31" t="s">
        <v>556</v>
      </c>
      <c r="B601" s="44">
        <v>4</v>
      </c>
      <c r="C601" s="101">
        <v>390</v>
      </c>
      <c r="D601" s="100">
        <f>Tabla4[[#This Row],[CANTIDAD]]*Tabla4[[#This Row],[COSTO]]</f>
        <v>1560</v>
      </c>
      <c r="E601" s="59"/>
      <c r="F601" s="98" t="s">
        <v>568</v>
      </c>
    </row>
    <row r="602" spans="1:6" ht="16.5" x14ac:dyDescent="0.25">
      <c r="A602" s="27" t="s">
        <v>557</v>
      </c>
      <c r="B602" s="44">
        <v>3</v>
      </c>
      <c r="C602" s="99">
        <v>1130</v>
      </c>
      <c r="D602" s="100">
        <f>Tabla4[[#This Row],[CANTIDAD]]*Tabla4[[#This Row],[COSTO]]</f>
        <v>3390</v>
      </c>
      <c r="E602" s="107"/>
      <c r="F602" s="97" t="s">
        <v>568</v>
      </c>
    </row>
    <row r="603" spans="1:6" ht="16.5" x14ac:dyDescent="0.25">
      <c r="A603" s="26" t="s">
        <v>557</v>
      </c>
      <c r="B603" s="37">
        <v>3</v>
      </c>
      <c r="C603" s="101">
        <v>1300</v>
      </c>
      <c r="D603" s="100">
        <f>Tabla4[[#This Row],[CANTIDAD]]*Tabla4[[#This Row],[COSTO]]</f>
        <v>3900</v>
      </c>
      <c r="E603" s="106"/>
      <c r="F603" s="98" t="s">
        <v>568</v>
      </c>
    </row>
    <row r="604" spans="1:6" ht="15.75" thickBot="1" x14ac:dyDescent="0.3">
      <c r="A604" s="81" t="s">
        <v>558</v>
      </c>
      <c r="B604" s="37">
        <v>3</v>
      </c>
      <c r="C604" s="99">
        <v>1060</v>
      </c>
      <c r="D604" s="100">
        <f>Tabla4[[#This Row],[CANTIDAD]]*Tabla4[[#This Row],[COSTO]]</f>
        <v>3180</v>
      </c>
      <c r="E604" s="51"/>
      <c r="F604" s="108" t="s">
        <v>569</v>
      </c>
    </row>
    <row r="605" spans="1:6" ht="15.75" thickTop="1" x14ac:dyDescent="0.25"/>
  </sheetData>
  <autoFilter ref="F1:F603" xr:uid="{0711EC33-1702-4843-AFFD-90F6BFF60306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3"/>
  <sheetViews>
    <sheetView zoomScaleNormal="100" workbookViewId="0">
      <pane ySplit="1" topLeftCell="A364" activePane="bottomLeft" state="frozen"/>
      <selection activeCell="B194" sqref="B194"/>
      <selection pane="bottomLeft" activeCell="F379" sqref="F379"/>
    </sheetView>
  </sheetViews>
  <sheetFormatPr baseColWidth="10" defaultColWidth="12.7109375" defaultRowHeight="15" x14ac:dyDescent="0.25"/>
  <cols>
    <col min="1" max="1" width="45.42578125" bestFit="1" customWidth="1"/>
    <col min="4" max="4" width="12.7109375" customWidth="1"/>
    <col min="7" max="11" width="15.7109375" customWidth="1"/>
  </cols>
  <sheetData>
    <row r="1" spans="1:9" ht="15.75" customHeight="1" x14ac:dyDescent="0.25">
      <c r="A1" s="1" t="s">
        <v>0</v>
      </c>
      <c r="B1" s="80" t="s">
        <v>1</v>
      </c>
      <c r="C1" s="1" t="s">
        <v>2</v>
      </c>
      <c r="D1" s="1" t="s">
        <v>3</v>
      </c>
      <c r="E1" s="1" t="s">
        <v>4</v>
      </c>
    </row>
    <row r="2" spans="1:9" x14ac:dyDescent="0.25">
      <c r="A2" s="2" t="s">
        <v>5</v>
      </c>
      <c r="B2" s="62">
        <v>5</v>
      </c>
      <c r="C2" s="63">
        <v>1860</v>
      </c>
      <c r="D2" s="63">
        <v>9300</v>
      </c>
      <c r="E2" s="64">
        <v>2600</v>
      </c>
      <c r="H2" s="8"/>
      <c r="I2" s="3"/>
    </row>
    <row r="3" spans="1:9" ht="30" x14ac:dyDescent="0.25">
      <c r="A3" s="2" t="s">
        <v>6</v>
      </c>
      <c r="B3" s="62">
        <v>12</v>
      </c>
      <c r="C3" s="63">
        <v>11670</v>
      </c>
      <c r="D3" s="63">
        <v>11670</v>
      </c>
      <c r="E3" s="64">
        <v>1400</v>
      </c>
      <c r="H3" s="8"/>
      <c r="I3" s="3"/>
    </row>
    <row r="4" spans="1:9" ht="30" x14ac:dyDescent="0.25">
      <c r="A4" s="2" t="s">
        <v>7</v>
      </c>
      <c r="B4" s="62">
        <v>24</v>
      </c>
      <c r="C4" s="63">
        <v>9010</v>
      </c>
      <c r="D4" s="63">
        <v>9010</v>
      </c>
      <c r="E4" s="65">
        <v>600</v>
      </c>
      <c r="H4" s="8"/>
      <c r="I4" s="3"/>
    </row>
    <row r="5" spans="1:9" x14ac:dyDescent="0.25">
      <c r="A5" s="2" t="s">
        <v>8</v>
      </c>
      <c r="B5" s="62">
        <v>12</v>
      </c>
      <c r="C5" s="66">
        <v>580</v>
      </c>
      <c r="D5" s="63">
        <v>2320</v>
      </c>
      <c r="E5" s="65">
        <v>300</v>
      </c>
      <c r="H5" s="8"/>
      <c r="I5" s="3"/>
    </row>
    <row r="6" spans="1:9" x14ac:dyDescent="0.25">
      <c r="A6" s="2" t="s">
        <v>9</v>
      </c>
      <c r="B6" s="62">
        <v>12</v>
      </c>
      <c r="C6" s="66">
        <v>580</v>
      </c>
      <c r="D6" s="63">
        <v>2320</v>
      </c>
      <c r="E6" s="65">
        <v>300</v>
      </c>
      <c r="H6" s="8"/>
      <c r="I6" s="3"/>
    </row>
    <row r="7" spans="1:9" x14ac:dyDescent="0.25">
      <c r="A7" s="2" t="s">
        <v>10</v>
      </c>
      <c r="B7" s="62">
        <v>36</v>
      </c>
      <c r="C7" s="66">
        <v>610</v>
      </c>
      <c r="D7" s="63">
        <v>1830</v>
      </c>
      <c r="E7" s="65">
        <v>100</v>
      </c>
      <c r="H7" s="8"/>
      <c r="I7" s="3"/>
    </row>
    <row r="8" spans="1:9" x14ac:dyDescent="0.25">
      <c r="A8" s="2" t="s">
        <v>11</v>
      </c>
      <c r="B8" s="62">
        <v>36</v>
      </c>
      <c r="C8" s="63">
        <v>1240</v>
      </c>
      <c r="D8" s="63">
        <v>3720</v>
      </c>
      <c r="E8" s="65">
        <v>150</v>
      </c>
      <c r="H8" s="8"/>
      <c r="I8" s="3"/>
    </row>
    <row r="9" spans="1:9" x14ac:dyDescent="0.25">
      <c r="A9" s="2" t="s">
        <v>12</v>
      </c>
      <c r="B9" s="62">
        <v>3</v>
      </c>
      <c r="C9" s="63">
        <v>1470</v>
      </c>
      <c r="D9" s="63">
        <v>4410</v>
      </c>
      <c r="E9" s="64">
        <v>2500</v>
      </c>
      <c r="H9" s="8"/>
      <c r="I9" s="3"/>
    </row>
    <row r="10" spans="1:9" ht="30" x14ac:dyDescent="0.25">
      <c r="A10" s="2" t="s">
        <v>13</v>
      </c>
      <c r="B10" s="62">
        <v>10</v>
      </c>
      <c r="C10" s="66">
        <v>850</v>
      </c>
      <c r="D10" s="63">
        <v>8500</v>
      </c>
      <c r="E10" s="64">
        <v>1500</v>
      </c>
      <c r="H10" s="8"/>
      <c r="I10" s="3"/>
    </row>
    <row r="11" spans="1:9" x14ac:dyDescent="0.25">
      <c r="A11" s="2" t="s">
        <v>14</v>
      </c>
      <c r="B11" s="62">
        <v>5</v>
      </c>
      <c r="C11" s="66">
        <v>690</v>
      </c>
      <c r="D11" s="63">
        <v>3450</v>
      </c>
      <c r="E11" s="64">
        <v>1000</v>
      </c>
      <c r="H11" s="8"/>
      <c r="I11" s="3"/>
    </row>
    <row r="12" spans="1:9" x14ac:dyDescent="0.25">
      <c r="A12" s="2" t="s">
        <v>15</v>
      </c>
      <c r="B12" s="62">
        <v>10</v>
      </c>
      <c r="C12" s="66">
        <v>400</v>
      </c>
      <c r="D12" s="63">
        <v>4000</v>
      </c>
      <c r="E12" s="64">
        <v>1000</v>
      </c>
      <c r="H12" s="8"/>
      <c r="I12" s="3"/>
    </row>
    <row r="13" spans="1:9" x14ac:dyDescent="0.25">
      <c r="A13" s="2" t="s">
        <v>16</v>
      </c>
      <c r="B13" s="62">
        <v>5</v>
      </c>
      <c r="C13" s="63">
        <v>1000</v>
      </c>
      <c r="D13" s="63">
        <v>5000</v>
      </c>
      <c r="E13" s="64">
        <v>1500</v>
      </c>
      <c r="H13" s="8"/>
      <c r="I13" s="3"/>
    </row>
    <row r="14" spans="1:9" x14ac:dyDescent="0.25">
      <c r="A14" s="2" t="s">
        <v>17</v>
      </c>
      <c r="B14" s="62">
        <v>9</v>
      </c>
      <c r="C14" s="63">
        <v>1000</v>
      </c>
      <c r="D14" s="63">
        <v>9000</v>
      </c>
      <c r="E14" s="64">
        <v>1500</v>
      </c>
      <c r="H14" s="8"/>
      <c r="I14" s="3"/>
    </row>
    <row r="15" spans="1:9" x14ac:dyDescent="0.25">
      <c r="A15" s="2" t="s">
        <v>18</v>
      </c>
      <c r="B15" s="62">
        <v>5</v>
      </c>
      <c r="C15" s="63">
        <v>1000</v>
      </c>
      <c r="D15" s="63">
        <v>5000</v>
      </c>
      <c r="E15" s="64">
        <v>1500</v>
      </c>
      <c r="H15" s="8"/>
      <c r="I15" s="3"/>
    </row>
    <row r="16" spans="1:9" x14ac:dyDescent="0.25">
      <c r="A16" s="2" t="s">
        <v>19</v>
      </c>
      <c r="B16" s="62">
        <v>4</v>
      </c>
      <c r="C16" s="63">
        <v>1000</v>
      </c>
      <c r="D16" s="63">
        <v>4000</v>
      </c>
      <c r="E16" s="64">
        <v>1500</v>
      </c>
      <c r="H16" s="8"/>
      <c r="I16" s="3"/>
    </row>
    <row r="17" spans="1:9" x14ac:dyDescent="0.25">
      <c r="A17" s="2" t="s">
        <v>20</v>
      </c>
      <c r="B17" s="62">
        <v>3</v>
      </c>
      <c r="C17" s="63">
        <v>1529</v>
      </c>
      <c r="D17" s="63">
        <v>4587</v>
      </c>
      <c r="E17" s="64">
        <v>2200</v>
      </c>
      <c r="H17" s="8"/>
      <c r="I17" s="3"/>
    </row>
    <row r="18" spans="1:9" x14ac:dyDescent="0.25">
      <c r="A18" s="2" t="s">
        <v>21</v>
      </c>
      <c r="B18" s="62">
        <v>15</v>
      </c>
      <c r="C18" s="66">
        <v>990</v>
      </c>
      <c r="D18" s="63">
        <v>14850</v>
      </c>
      <c r="E18" s="64">
        <v>1500</v>
      </c>
      <c r="H18" s="8"/>
      <c r="I18" s="3"/>
    </row>
    <row r="19" spans="1:9" x14ac:dyDescent="0.25">
      <c r="A19" s="2" t="s">
        <v>22</v>
      </c>
      <c r="B19" s="62">
        <v>10</v>
      </c>
      <c r="C19" s="66">
        <v>760</v>
      </c>
      <c r="D19" s="63">
        <v>7600</v>
      </c>
      <c r="E19" s="64">
        <v>1100</v>
      </c>
      <c r="H19" s="8"/>
      <c r="I19" s="3"/>
    </row>
    <row r="20" spans="1:9" x14ac:dyDescent="0.25">
      <c r="A20" s="2" t="s">
        <v>23</v>
      </c>
      <c r="B20" s="62">
        <v>100</v>
      </c>
      <c r="C20" s="63">
        <v>1720</v>
      </c>
      <c r="D20" s="63">
        <v>3440</v>
      </c>
      <c r="E20" s="65">
        <v>50</v>
      </c>
      <c r="H20" s="8"/>
      <c r="I20" s="3"/>
    </row>
    <row r="21" spans="1:9" x14ac:dyDescent="0.25">
      <c r="A21" s="2" t="s">
        <v>24</v>
      </c>
      <c r="B21" s="62">
        <v>5</v>
      </c>
      <c r="C21" s="63">
        <v>1000</v>
      </c>
      <c r="D21" s="63">
        <v>5000</v>
      </c>
      <c r="E21" s="64">
        <v>1500</v>
      </c>
      <c r="H21" s="8"/>
      <c r="I21" s="3"/>
    </row>
    <row r="22" spans="1:9" x14ac:dyDescent="0.25">
      <c r="A22" s="2" t="s">
        <v>25</v>
      </c>
      <c r="B22" s="62">
        <v>5</v>
      </c>
      <c r="C22" s="63">
        <v>1000</v>
      </c>
      <c r="D22" s="63">
        <v>5000</v>
      </c>
      <c r="E22" s="64">
        <v>1500</v>
      </c>
      <c r="H22" s="8"/>
      <c r="I22" s="3"/>
    </row>
    <row r="23" spans="1:9" x14ac:dyDescent="0.25">
      <c r="A23" s="2" t="s">
        <v>26</v>
      </c>
      <c r="B23" s="62">
        <v>8</v>
      </c>
      <c r="C23" s="66">
        <v>990</v>
      </c>
      <c r="D23" s="63">
        <v>7920</v>
      </c>
      <c r="E23" s="64">
        <v>1500</v>
      </c>
      <c r="H23" s="8"/>
      <c r="I23" s="3"/>
    </row>
    <row r="24" spans="1:9" x14ac:dyDescent="0.25">
      <c r="A24" s="2" t="s">
        <v>27</v>
      </c>
      <c r="B24" s="62">
        <v>7</v>
      </c>
      <c r="C24" s="63">
        <v>1000</v>
      </c>
      <c r="D24" s="63">
        <v>7000</v>
      </c>
      <c r="E24" s="64">
        <v>1500</v>
      </c>
      <c r="H24" s="8"/>
      <c r="I24" s="3"/>
    </row>
    <row r="25" spans="1:9" x14ac:dyDescent="0.25">
      <c r="A25" s="2" t="s">
        <v>28</v>
      </c>
      <c r="B25" s="62">
        <v>3</v>
      </c>
      <c r="C25" s="63">
        <v>1540</v>
      </c>
      <c r="D25" s="63">
        <v>4620</v>
      </c>
      <c r="E25" s="64">
        <v>2200</v>
      </c>
      <c r="H25" s="8"/>
      <c r="I25" s="3"/>
    </row>
    <row r="26" spans="1:9" x14ac:dyDescent="0.25">
      <c r="A26" s="2" t="s">
        <v>29</v>
      </c>
      <c r="B26" s="62">
        <v>40</v>
      </c>
      <c r="C26" s="63">
        <v>1560</v>
      </c>
      <c r="D26" s="63">
        <v>3120</v>
      </c>
      <c r="E26" s="65">
        <v>250</v>
      </c>
      <c r="H26" s="8"/>
      <c r="I26" s="3"/>
    </row>
    <row r="27" spans="1:9" x14ac:dyDescent="0.25">
      <c r="A27" s="2" t="s">
        <v>30</v>
      </c>
      <c r="B27" s="62">
        <v>40</v>
      </c>
      <c r="C27" s="63">
        <v>1560</v>
      </c>
      <c r="D27" s="63">
        <v>3120</v>
      </c>
      <c r="E27" s="65">
        <v>250</v>
      </c>
      <c r="H27" s="8"/>
      <c r="I27" s="3"/>
    </row>
    <row r="28" spans="1:9" x14ac:dyDescent="0.25">
      <c r="A28" s="2" t="s">
        <v>31</v>
      </c>
      <c r="B28" s="62">
        <v>40</v>
      </c>
      <c r="C28" s="63">
        <v>1560</v>
      </c>
      <c r="D28" s="63">
        <v>3120</v>
      </c>
      <c r="E28" s="65">
        <v>250</v>
      </c>
      <c r="H28" s="8"/>
      <c r="I28" s="3"/>
    </row>
    <row r="29" spans="1:9" x14ac:dyDescent="0.25">
      <c r="A29" s="2" t="s">
        <v>32</v>
      </c>
      <c r="B29" s="62">
        <v>40</v>
      </c>
      <c r="C29" s="63">
        <v>1560</v>
      </c>
      <c r="D29" s="63">
        <v>3120</v>
      </c>
      <c r="E29" s="65">
        <v>250</v>
      </c>
      <c r="H29" s="8"/>
      <c r="I29" s="3"/>
    </row>
    <row r="30" spans="1:9" x14ac:dyDescent="0.25">
      <c r="A30" s="2" t="s">
        <v>33</v>
      </c>
      <c r="B30" s="62">
        <v>40</v>
      </c>
      <c r="C30" s="63">
        <v>1560</v>
      </c>
      <c r="D30" s="63">
        <v>3120</v>
      </c>
      <c r="E30" s="65">
        <v>250</v>
      </c>
      <c r="H30" s="8"/>
      <c r="I30" s="3"/>
    </row>
    <row r="31" spans="1:9" x14ac:dyDescent="0.25">
      <c r="A31" s="2" t="s">
        <v>34</v>
      </c>
      <c r="B31" s="62">
        <v>40</v>
      </c>
      <c r="C31" s="63">
        <v>1560</v>
      </c>
      <c r="D31" s="63">
        <v>3120</v>
      </c>
      <c r="E31" s="65">
        <v>250</v>
      </c>
      <c r="H31" s="8"/>
      <c r="I31" s="3"/>
    </row>
    <row r="32" spans="1:9" x14ac:dyDescent="0.25">
      <c r="A32" s="2" t="s">
        <v>35</v>
      </c>
      <c r="B32" s="62">
        <v>40</v>
      </c>
      <c r="C32" s="63">
        <v>1560</v>
      </c>
      <c r="D32" s="63">
        <v>3120</v>
      </c>
      <c r="E32" s="65">
        <v>250</v>
      </c>
      <c r="H32" s="8"/>
      <c r="I32" s="3"/>
    </row>
    <row r="33" spans="1:9" x14ac:dyDescent="0.25">
      <c r="A33" s="2" t="s">
        <v>36</v>
      </c>
      <c r="B33" s="62">
        <v>1</v>
      </c>
      <c r="C33" s="66">
        <v>499</v>
      </c>
      <c r="D33" s="66">
        <v>499</v>
      </c>
      <c r="E33" s="65">
        <v>700</v>
      </c>
      <c r="H33" s="9"/>
      <c r="I33" s="3"/>
    </row>
    <row r="34" spans="1:9" ht="30" x14ac:dyDescent="0.25">
      <c r="A34" s="2" t="s">
        <v>37</v>
      </c>
      <c r="B34" s="62">
        <v>150</v>
      </c>
      <c r="C34" s="66">
        <v>770</v>
      </c>
      <c r="D34" s="63">
        <v>2310</v>
      </c>
      <c r="E34" s="65">
        <v>50</v>
      </c>
      <c r="H34" s="8"/>
      <c r="I34" s="3"/>
    </row>
    <row r="35" spans="1:9" x14ac:dyDescent="0.25">
      <c r="A35" s="2" t="s">
        <v>38</v>
      </c>
      <c r="B35" s="62">
        <v>20</v>
      </c>
      <c r="C35" s="63">
        <v>3430</v>
      </c>
      <c r="D35" s="63">
        <v>3430</v>
      </c>
      <c r="E35" s="65">
        <v>250</v>
      </c>
      <c r="H35" s="8"/>
      <c r="I35" s="3"/>
    </row>
    <row r="36" spans="1:9" x14ac:dyDescent="0.25">
      <c r="A36" s="2" t="s">
        <v>39</v>
      </c>
      <c r="B36" s="62">
        <v>3</v>
      </c>
      <c r="C36" s="66">
        <v>702</v>
      </c>
      <c r="D36" s="63">
        <v>2106</v>
      </c>
      <c r="E36" s="64">
        <v>1000</v>
      </c>
      <c r="H36" s="9"/>
      <c r="I36" s="3"/>
    </row>
    <row r="37" spans="1:9" x14ac:dyDescent="0.25">
      <c r="A37" s="2" t="s">
        <v>40</v>
      </c>
      <c r="B37" s="62">
        <v>28</v>
      </c>
      <c r="C37" s="66">
        <v>490</v>
      </c>
      <c r="D37" s="63">
        <v>13720</v>
      </c>
      <c r="E37" s="65">
        <v>700</v>
      </c>
      <c r="H37" s="8"/>
      <c r="I37" s="3"/>
    </row>
    <row r="38" spans="1:9" ht="30" x14ac:dyDescent="0.25">
      <c r="A38" s="2" t="s">
        <v>41</v>
      </c>
      <c r="B38" s="62">
        <v>60</v>
      </c>
      <c r="C38" s="63">
        <v>1820</v>
      </c>
      <c r="D38" s="63">
        <v>5460</v>
      </c>
      <c r="E38" s="65">
        <v>300</v>
      </c>
      <c r="H38" s="8"/>
      <c r="I38" s="3"/>
    </row>
    <row r="39" spans="1:9" ht="30" x14ac:dyDescent="0.25">
      <c r="A39" s="2" t="s">
        <v>42</v>
      </c>
      <c r="B39" s="62">
        <v>25</v>
      </c>
      <c r="C39" s="63">
        <v>3100</v>
      </c>
      <c r="D39" s="63">
        <v>3100</v>
      </c>
      <c r="E39" s="65">
        <v>300</v>
      </c>
      <c r="H39" s="8"/>
      <c r="I39" s="3"/>
    </row>
    <row r="40" spans="1:9" ht="30" x14ac:dyDescent="0.25">
      <c r="A40" s="2" t="s">
        <v>43</v>
      </c>
      <c r="B40" s="62">
        <v>25</v>
      </c>
      <c r="C40" s="63">
        <v>6200</v>
      </c>
      <c r="D40" s="63">
        <v>6200</v>
      </c>
      <c r="E40" s="65">
        <v>450</v>
      </c>
      <c r="H40" s="8"/>
      <c r="I40" s="3"/>
    </row>
    <row r="41" spans="1:9" x14ac:dyDescent="0.25">
      <c r="A41" s="2" t="s">
        <v>44</v>
      </c>
      <c r="B41" s="62">
        <v>25</v>
      </c>
      <c r="C41" s="63">
        <v>12550</v>
      </c>
      <c r="D41" s="63">
        <v>12550</v>
      </c>
      <c r="E41" s="65">
        <v>950</v>
      </c>
      <c r="H41" s="8"/>
      <c r="I41" s="3"/>
    </row>
    <row r="42" spans="1:9" x14ac:dyDescent="0.25">
      <c r="A42" s="2" t="s">
        <v>45</v>
      </c>
      <c r="B42" s="62">
        <v>36</v>
      </c>
      <c r="C42" s="66">
        <v>290</v>
      </c>
      <c r="D42" s="63">
        <v>10440</v>
      </c>
      <c r="E42" s="65">
        <v>450</v>
      </c>
      <c r="H42" s="8"/>
      <c r="I42" s="3"/>
    </row>
    <row r="43" spans="1:9" x14ac:dyDescent="0.25">
      <c r="A43" s="2" t="s">
        <v>46</v>
      </c>
      <c r="B43" s="62">
        <v>5</v>
      </c>
      <c r="C43" s="66">
        <v>290</v>
      </c>
      <c r="D43" s="63">
        <v>1450</v>
      </c>
      <c r="E43" s="65">
        <v>450</v>
      </c>
      <c r="H43" s="9"/>
      <c r="I43" s="3"/>
    </row>
    <row r="44" spans="1:9" ht="30" x14ac:dyDescent="0.25">
      <c r="A44" s="2" t="s">
        <v>47</v>
      </c>
      <c r="B44" s="62">
        <v>300</v>
      </c>
      <c r="C44" s="66">
        <v>300</v>
      </c>
      <c r="D44" s="66">
        <v>900</v>
      </c>
      <c r="E44" s="65">
        <v>10</v>
      </c>
      <c r="H44" s="8"/>
      <c r="I44" s="3"/>
    </row>
    <row r="45" spans="1:9" ht="30" x14ac:dyDescent="0.25">
      <c r="A45" s="2" t="s">
        <v>48</v>
      </c>
      <c r="B45" s="62">
        <v>300</v>
      </c>
      <c r="C45" s="66">
        <v>300</v>
      </c>
      <c r="D45" s="66">
        <v>900</v>
      </c>
      <c r="E45" s="65">
        <v>10</v>
      </c>
      <c r="H45" s="8"/>
      <c r="I45" s="3"/>
    </row>
    <row r="46" spans="1:9" ht="30" x14ac:dyDescent="0.25">
      <c r="A46" s="2" t="s">
        <v>49</v>
      </c>
      <c r="B46" s="62">
        <v>12</v>
      </c>
      <c r="C46" s="63">
        <v>2220</v>
      </c>
      <c r="D46" s="63">
        <v>4440</v>
      </c>
      <c r="E46" s="65">
        <v>550</v>
      </c>
      <c r="H46" s="8"/>
      <c r="I46" s="3"/>
    </row>
    <row r="47" spans="1:9" ht="30" x14ac:dyDescent="0.25">
      <c r="A47" s="2" t="s">
        <v>50</v>
      </c>
      <c r="B47" s="62">
        <v>24</v>
      </c>
      <c r="C47" s="63">
        <v>6960</v>
      </c>
      <c r="D47" s="63">
        <v>13920</v>
      </c>
      <c r="E47" s="65">
        <v>850</v>
      </c>
      <c r="H47" s="8"/>
      <c r="I47" s="3"/>
    </row>
    <row r="48" spans="1:9" ht="30" x14ac:dyDescent="0.25">
      <c r="A48" s="2" t="s">
        <v>51</v>
      </c>
      <c r="B48" s="62">
        <v>16</v>
      </c>
      <c r="C48" s="63">
        <v>5520</v>
      </c>
      <c r="D48" s="63">
        <v>11040</v>
      </c>
      <c r="E48" s="64">
        <v>1000</v>
      </c>
      <c r="H48" s="8"/>
      <c r="I48" s="3"/>
    </row>
    <row r="49" spans="1:9" x14ac:dyDescent="0.25">
      <c r="A49" s="2" t="s">
        <v>52</v>
      </c>
      <c r="B49" s="62">
        <v>3</v>
      </c>
      <c r="C49" s="63">
        <v>1560</v>
      </c>
      <c r="D49" s="63">
        <v>4680</v>
      </c>
      <c r="E49" s="64">
        <v>2200</v>
      </c>
      <c r="H49" s="8"/>
      <c r="I49" s="3"/>
    </row>
    <row r="50" spans="1:9" x14ac:dyDescent="0.25">
      <c r="A50" s="2" t="s">
        <v>53</v>
      </c>
      <c r="B50" s="62">
        <v>3</v>
      </c>
      <c r="C50" s="63">
        <v>2340</v>
      </c>
      <c r="D50" s="63">
        <v>7020</v>
      </c>
      <c r="E50" s="64">
        <v>3300</v>
      </c>
      <c r="H50" s="8"/>
      <c r="I50" s="3"/>
    </row>
    <row r="51" spans="1:9" x14ac:dyDescent="0.25">
      <c r="A51" s="2" t="s">
        <v>54</v>
      </c>
      <c r="B51" s="62">
        <v>6</v>
      </c>
      <c r="C51" s="66">
        <v>240</v>
      </c>
      <c r="D51" s="63">
        <v>1440</v>
      </c>
      <c r="E51" s="65">
        <v>350</v>
      </c>
      <c r="H51" s="9"/>
      <c r="I51" s="3"/>
    </row>
    <row r="52" spans="1:9" x14ac:dyDescent="0.25">
      <c r="A52" s="2" t="s">
        <v>55</v>
      </c>
      <c r="B52" s="62">
        <v>6</v>
      </c>
      <c r="C52" s="66">
        <v>280</v>
      </c>
      <c r="D52" s="63">
        <v>1680</v>
      </c>
      <c r="E52" s="65">
        <v>400</v>
      </c>
      <c r="H52" s="9"/>
      <c r="I52" s="3"/>
    </row>
    <row r="53" spans="1:9" x14ac:dyDescent="0.25">
      <c r="A53" s="2" t="s">
        <v>56</v>
      </c>
      <c r="B53" s="62">
        <v>12</v>
      </c>
      <c r="C53" s="63">
        <v>7050</v>
      </c>
      <c r="D53" s="63">
        <v>7050</v>
      </c>
      <c r="E53" s="65">
        <v>850</v>
      </c>
      <c r="H53" s="8"/>
      <c r="I53" s="3"/>
    </row>
    <row r="54" spans="1:9" x14ac:dyDescent="0.25">
      <c r="A54" s="2" t="s">
        <v>57</v>
      </c>
      <c r="B54" s="62">
        <v>12</v>
      </c>
      <c r="C54" s="63">
        <v>12350</v>
      </c>
      <c r="D54" s="63">
        <v>12350</v>
      </c>
      <c r="E54" s="64">
        <v>1500</v>
      </c>
      <c r="H54" s="8"/>
      <c r="I54" s="3"/>
    </row>
    <row r="55" spans="1:9" x14ac:dyDescent="0.25">
      <c r="A55" s="2" t="s">
        <v>58</v>
      </c>
      <c r="B55" s="62">
        <v>10</v>
      </c>
      <c r="C55" s="66">
        <v>490</v>
      </c>
      <c r="D55" s="63">
        <v>4900</v>
      </c>
      <c r="E55" s="65">
        <v>800</v>
      </c>
      <c r="H55" s="8"/>
      <c r="I55" s="3"/>
    </row>
    <row r="56" spans="1:9" x14ac:dyDescent="0.25">
      <c r="A56" s="2" t="s">
        <v>59</v>
      </c>
      <c r="B56" s="62">
        <v>1</v>
      </c>
      <c r="C56" s="63">
        <v>1355</v>
      </c>
      <c r="D56" s="63">
        <v>1355</v>
      </c>
      <c r="E56" s="64">
        <v>1900</v>
      </c>
      <c r="H56" s="9"/>
      <c r="I56" s="3"/>
    </row>
    <row r="57" spans="1:9" x14ac:dyDescent="0.25">
      <c r="A57" s="2" t="s">
        <v>60</v>
      </c>
      <c r="B57" s="62">
        <v>12</v>
      </c>
      <c r="C57" s="63">
        <v>8290</v>
      </c>
      <c r="D57" s="63">
        <v>8290</v>
      </c>
      <c r="E57" s="64">
        <v>1000</v>
      </c>
      <c r="H57" s="8"/>
      <c r="I57" s="3"/>
    </row>
    <row r="58" spans="1:9" x14ac:dyDescent="0.25">
      <c r="A58" s="2" t="s">
        <v>61</v>
      </c>
      <c r="B58" s="62">
        <v>3</v>
      </c>
      <c r="C58" s="63">
        <v>2290</v>
      </c>
      <c r="D58" s="63">
        <v>6870</v>
      </c>
      <c r="E58" s="64">
        <v>3500</v>
      </c>
      <c r="H58" s="8"/>
      <c r="I58" s="3"/>
    </row>
    <row r="59" spans="1:9" x14ac:dyDescent="0.25">
      <c r="A59" s="2" t="s">
        <v>62</v>
      </c>
      <c r="B59" s="62">
        <v>6</v>
      </c>
      <c r="C59" s="63">
        <v>3200</v>
      </c>
      <c r="D59" s="63">
        <v>19200</v>
      </c>
      <c r="E59" s="64">
        <v>4500</v>
      </c>
      <c r="H59" s="8"/>
      <c r="I59" s="3"/>
    </row>
    <row r="60" spans="1:9" ht="30" x14ac:dyDescent="0.25">
      <c r="A60" s="2" t="s">
        <v>63</v>
      </c>
      <c r="B60" s="62">
        <v>25</v>
      </c>
      <c r="C60" s="63">
        <v>4750</v>
      </c>
      <c r="D60" s="63">
        <v>4750</v>
      </c>
      <c r="E60" s="65">
        <v>300</v>
      </c>
      <c r="H60" s="8"/>
      <c r="I60" s="3"/>
    </row>
    <row r="61" spans="1:9" x14ac:dyDescent="0.25">
      <c r="A61" s="2" t="s">
        <v>64</v>
      </c>
      <c r="B61" s="62">
        <v>10</v>
      </c>
      <c r="C61" s="66">
        <v>499</v>
      </c>
      <c r="D61" s="63">
        <v>4990</v>
      </c>
      <c r="E61" s="65">
        <v>700</v>
      </c>
      <c r="H61" s="8"/>
      <c r="I61" s="3"/>
    </row>
    <row r="62" spans="1:9" x14ac:dyDescent="0.25">
      <c r="A62" s="2" t="s">
        <v>65</v>
      </c>
      <c r="B62" s="62">
        <v>10</v>
      </c>
      <c r="C62" s="66">
        <v>499</v>
      </c>
      <c r="D62" s="63">
        <v>4990</v>
      </c>
      <c r="E62" s="65">
        <v>700</v>
      </c>
      <c r="H62" s="8"/>
      <c r="I62" s="3"/>
    </row>
    <row r="63" spans="1:9" x14ac:dyDescent="0.25">
      <c r="A63" s="2" t="s">
        <v>66</v>
      </c>
      <c r="B63" s="62">
        <v>30</v>
      </c>
      <c r="C63" s="66">
        <v>549</v>
      </c>
      <c r="D63" s="63">
        <v>16470</v>
      </c>
      <c r="E63" s="65">
        <v>800</v>
      </c>
      <c r="H63" s="8"/>
      <c r="I63" s="3"/>
    </row>
    <row r="64" spans="1:9" x14ac:dyDescent="0.25">
      <c r="A64" s="2" t="s">
        <v>67</v>
      </c>
      <c r="B64" s="62">
        <v>10</v>
      </c>
      <c r="C64" s="66">
        <v>499</v>
      </c>
      <c r="D64" s="63">
        <v>4990</v>
      </c>
      <c r="E64" s="65">
        <v>800</v>
      </c>
      <c r="H64" s="8"/>
      <c r="I64" s="3"/>
    </row>
    <row r="65" spans="1:9" x14ac:dyDescent="0.25">
      <c r="A65" s="2" t="s">
        <v>68</v>
      </c>
      <c r="B65" s="62">
        <v>4</v>
      </c>
      <c r="C65" s="66">
        <v>565</v>
      </c>
      <c r="D65" s="63">
        <v>2260</v>
      </c>
      <c r="E65" s="65">
        <v>800</v>
      </c>
      <c r="H65" s="9"/>
      <c r="I65" s="3"/>
    </row>
    <row r="66" spans="1:9" x14ac:dyDescent="0.25">
      <c r="A66" s="2" t="s">
        <v>69</v>
      </c>
      <c r="B66" s="62">
        <v>4</v>
      </c>
      <c r="C66" s="66">
        <v>565</v>
      </c>
      <c r="D66" s="63">
        <v>2260</v>
      </c>
      <c r="E66" s="65">
        <v>800</v>
      </c>
      <c r="H66" s="9"/>
      <c r="I66" s="3"/>
    </row>
    <row r="67" spans="1:9" x14ac:dyDescent="0.25">
      <c r="A67" s="2" t="s">
        <v>70</v>
      </c>
      <c r="B67" s="62">
        <v>60</v>
      </c>
      <c r="C67" s="63">
        <v>11000</v>
      </c>
      <c r="D67" s="63">
        <v>66000</v>
      </c>
      <c r="E67" s="64">
        <v>1600</v>
      </c>
      <c r="H67" s="8"/>
      <c r="I67" s="3"/>
    </row>
    <row r="68" spans="1:9" x14ac:dyDescent="0.25">
      <c r="A68" s="2" t="s">
        <v>71</v>
      </c>
      <c r="B68" s="62">
        <v>50</v>
      </c>
      <c r="C68" s="63">
        <v>12000</v>
      </c>
      <c r="D68" s="63">
        <v>60000</v>
      </c>
      <c r="E68" s="64">
        <v>1800</v>
      </c>
      <c r="H68" s="8"/>
      <c r="I68" s="3"/>
    </row>
    <row r="69" spans="1:9" x14ac:dyDescent="0.25">
      <c r="A69" s="2" t="s">
        <v>72</v>
      </c>
      <c r="B69" s="62">
        <v>10</v>
      </c>
      <c r="C69" s="63">
        <v>11900</v>
      </c>
      <c r="D69" s="63">
        <v>11900</v>
      </c>
      <c r="E69" s="64">
        <v>1800</v>
      </c>
      <c r="H69" s="8"/>
      <c r="I69" s="3"/>
    </row>
    <row r="70" spans="1:9" ht="30" x14ac:dyDescent="0.25">
      <c r="A70" s="2" t="s">
        <v>73</v>
      </c>
      <c r="B70" s="62">
        <v>10</v>
      </c>
      <c r="C70" s="66">
        <v>220</v>
      </c>
      <c r="D70" s="63">
        <v>2200</v>
      </c>
      <c r="E70" s="65">
        <v>400</v>
      </c>
      <c r="H70" s="8"/>
      <c r="I70" s="3"/>
    </row>
    <row r="71" spans="1:9" ht="30" x14ac:dyDescent="0.25">
      <c r="A71" s="2" t="s">
        <v>74</v>
      </c>
      <c r="B71" s="62">
        <v>10</v>
      </c>
      <c r="C71" s="66">
        <v>390</v>
      </c>
      <c r="D71" s="63">
        <v>3900</v>
      </c>
      <c r="E71" s="65">
        <v>800</v>
      </c>
      <c r="H71" s="8"/>
      <c r="I71" s="3"/>
    </row>
    <row r="72" spans="1:9" x14ac:dyDescent="0.25">
      <c r="A72" s="2" t="s">
        <v>75</v>
      </c>
      <c r="B72" s="62">
        <v>10</v>
      </c>
      <c r="C72" s="66">
        <v>190</v>
      </c>
      <c r="D72" s="63">
        <v>1900</v>
      </c>
      <c r="E72" s="65">
        <v>500</v>
      </c>
      <c r="H72" s="8"/>
      <c r="I72" s="3"/>
    </row>
    <row r="73" spans="1:9" ht="30" x14ac:dyDescent="0.25">
      <c r="A73" s="2" t="s">
        <v>76</v>
      </c>
      <c r="B73" s="62">
        <v>12</v>
      </c>
      <c r="C73" s="63">
        <v>3450</v>
      </c>
      <c r="D73" s="63">
        <v>3450</v>
      </c>
      <c r="E73" s="65">
        <v>400</v>
      </c>
      <c r="H73" s="8"/>
      <c r="I73" s="3"/>
    </row>
    <row r="74" spans="1:9" x14ac:dyDescent="0.25">
      <c r="A74" s="2" t="s">
        <v>77</v>
      </c>
      <c r="B74" s="62">
        <v>12</v>
      </c>
      <c r="C74" s="63">
        <v>3450</v>
      </c>
      <c r="D74" s="63">
        <v>3450</v>
      </c>
      <c r="E74" s="65">
        <v>400</v>
      </c>
      <c r="H74" s="8"/>
      <c r="I74" s="3"/>
    </row>
    <row r="75" spans="1:9" ht="30" x14ac:dyDescent="0.25">
      <c r="A75" s="2" t="s">
        <v>78</v>
      </c>
      <c r="B75" s="62">
        <v>12</v>
      </c>
      <c r="C75" s="63">
        <v>3450</v>
      </c>
      <c r="D75" s="63">
        <v>3450</v>
      </c>
      <c r="E75" s="65">
        <v>400</v>
      </c>
      <c r="H75" s="8"/>
      <c r="I75" s="3"/>
    </row>
    <row r="76" spans="1:9" x14ac:dyDescent="0.25">
      <c r="A76" s="2" t="s">
        <v>79</v>
      </c>
      <c r="B76" s="62">
        <v>12</v>
      </c>
      <c r="C76" s="63">
        <v>3450</v>
      </c>
      <c r="D76" s="63">
        <v>3450</v>
      </c>
      <c r="E76" s="65">
        <v>400</v>
      </c>
      <c r="H76" s="8"/>
      <c r="I76" s="3"/>
    </row>
    <row r="77" spans="1:9" x14ac:dyDescent="0.25">
      <c r="A77" s="2" t="s">
        <v>80</v>
      </c>
      <c r="B77" s="62">
        <v>100</v>
      </c>
      <c r="C77" s="63">
        <v>2970</v>
      </c>
      <c r="D77" s="63">
        <v>2970</v>
      </c>
      <c r="E77" s="65">
        <v>50</v>
      </c>
      <c r="H77" s="8"/>
      <c r="I77" s="3"/>
    </row>
    <row r="78" spans="1:9" x14ac:dyDescent="0.25">
      <c r="A78" s="2" t="s">
        <v>81</v>
      </c>
      <c r="B78" s="62">
        <v>5</v>
      </c>
      <c r="C78" s="63">
        <v>4890</v>
      </c>
      <c r="D78" s="63">
        <v>4890</v>
      </c>
      <c r="E78" s="64">
        <v>1400</v>
      </c>
      <c r="H78" s="8"/>
      <c r="I78" s="3"/>
    </row>
    <row r="79" spans="1:9" x14ac:dyDescent="0.25">
      <c r="A79" s="2" t="s">
        <v>82</v>
      </c>
      <c r="B79" s="62">
        <v>30</v>
      </c>
      <c r="C79" s="66">
        <v>270</v>
      </c>
      <c r="D79" s="66">
        <v>810</v>
      </c>
      <c r="E79" s="65">
        <v>100</v>
      </c>
      <c r="H79" s="8"/>
      <c r="I79" s="3"/>
    </row>
    <row r="80" spans="1:9" x14ac:dyDescent="0.25">
      <c r="A80" s="2" t="s">
        <v>83</v>
      </c>
      <c r="B80" s="62">
        <v>30</v>
      </c>
      <c r="C80" s="66">
        <v>320</v>
      </c>
      <c r="D80" s="66">
        <v>960</v>
      </c>
      <c r="E80" s="65">
        <v>150</v>
      </c>
      <c r="H80" s="8"/>
      <c r="I80" s="3"/>
    </row>
    <row r="81" spans="1:9" x14ac:dyDescent="0.25">
      <c r="A81" s="2" t="s">
        <v>84</v>
      </c>
      <c r="B81" s="62">
        <v>30</v>
      </c>
      <c r="C81" s="66">
        <v>630</v>
      </c>
      <c r="D81" s="63">
        <v>1890</v>
      </c>
      <c r="E81" s="65">
        <v>200</v>
      </c>
      <c r="H81" s="8"/>
      <c r="I81" s="3"/>
    </row>
    <row r="82" spans="1:9" x14ac:dyDescent="0.25">
      <c r="A82" s="2" t="s">
        <v>85</v>
      </c>
      <c r="B82" s="62">
        <v>30</v>
      </c>
      <c r="C82" s="66">
        <v>800</v>
      </c>
      <c r="D82" s="63">
        <v>2400</v>
      </c>
      <c r="E82" s="65">
        <v>250</v>
      </c>
      <c r="H82" s="8"/>
      <c r="I82" s="3"/>
    </row>
    <row r="83" spans="1:9" x14ac:dyDescent="0.25">
      <c r="A83" s="2" t="s">
        <v>86</v>
      </c>
      <c r="B83" s="62">
        <v>10</v>
      </c>
      <c r="C83" s="63">
        <v>1600</v>
      </c>
      <c r="D83" s="63">
        <v>1600</v>
      </c>
      <c r="E83" s="65">
        <v>300</v>
      </c>
      <c r="H83" s="8"/>
      <c r="I83" s="3"/>
    </row>
    <row r="84" spans="1:9" x14ac:dyDescent="0.25">
      <c r="A84" s="2" t="s">
        <v>87</v>
      </c>
      <c r="B84" s="62">
        <v>10</v>
      </c>
      <c r="C84" s="63">
        <v>1900</v>
      </c>
      <c r="D84" s="63">
        <v>1900</v>
      </c>
      <c r="E84" s="65">
        <v>400</v>
      </c>
      <c r="H84" s="8"/>
      <c r="I84" s="3"/>
    </row>
    <row r="85" spans="1:9" x14ac:dyDescent="0.25">
      <c r="A85" s="2" t="s">
        <v>88</v>
      </c>
      <c r="B85" s="62">
        <v>5</v>
      </c>
      <c r="C85" s="63">
        <v>1470</v>
      </c>
      <c r="D85" s="63">
        <v>1470</v>
      </c>
      <c r="E85" s="65">
        <v>450</v>
      </c>
      <c r="H85" s="9"/>
      <c r="I85" s="3"/>
    </row>
    <row r="86" spans="1:9" x14ac:dyDescent="0.25">
      <c r="A86" s="2" t="s">
        <v>89</v>
      </c>
      <c r="B86" s="62">
        <v>5</v>
      </c>
      <c r="C86" s="63">
        <v>3060</v>
      </c>
      <c r="D86" s="63">
        <v>3060</v>
      </c>
      <c r="E86" s="65">
        <v>900</v>
      </c>
      <c r="H86" s="8"/>
      <c r="I86" s="3"/>
    </row>
    <row r="87" spans="1:9" x14ac:dyDescent="0.25">
      <c r="A87" s="2" t="s">
        <v>90</v>
      </c>
      <c r="B87" s="62">
        <v>150</v>
      </c>
      <c r="C87" s="66">
        <v>910</v>
      </c>
      <c r="D87" s="63">
        <v>2730</v>
      </c>
      <c r="E87" s="65">
        <v>50</v>
      </c>
      <c r="H87" s="8"/>
      <c r="I87" s="3"/>
    </row>
    <row r="88" spans="1:9" ht="30" x14ac:dyDescent="0.25">
      <c r="A88" s="2" t="s">
        <v>91</v>
      </c>
      <c r="B88" s="62">
        <v>20</v>
      </c>
      <c r="C88" s="63">
        <v>1560</v>
      </c>
      <c r="D88" s="63">
        <v>3120</v>
      </c>
      <c r="E88" s="65">
        <v>300</v>
      </c>
      <c r="H88" s="8"/>
      <c r="I88" s="3"/>
    </row>
    <row r="89" spans="1:9" x14ac:dyDescent="0.25">
      <c r="A89" s="2" t="s">
        <v>92</v>
      </c>
      <c r="B89" s="62">
        <v>20</v>
      </c>
      <c r="C89" s="63">
        <v>1560</v>
      </c>
      <c r="D89" s="63">
        <v>3120</v>
      </c>
      <c r="E89" s="65">
        <v>300</v>
      </c>
      <c r="H89" s="8"/>
      <c r="I89" s="3"/>
    </row>
    <row r="90" spans="1:9" x14ac:dyDescent="0.25">
      <c r="A90" s="2" t="s">
        <v>93</v>
      </c>
      <c r="B90" s="62">
        <v>20</v>
      </c>
      <c r="C90" s="63">
        <v>1560</v>
      </c>
      <c r="D90" s="63">
        <v>3120</v>
      </c>
      <c r="E90" s="65">
        <v>300</v>
      </c>
      <c r="H90" s="8"/>
      <c r="I90" s="3"/>
    </row>
    <row r="91" spans="1:9" x14ac:dyDescent="0.25">
      <c r="A91" s="2" t="s">
        <v>94</v>
      </c>
      <c r="B91" s="62">
        <v>20</v>
      </c>
      <c r="C91" s="63">
        <v>1560</v>
      </c>
      <c r="D91" s="63">
        <v>3120</v>
      </c>
      <c r="E91" s="65">
        <v>300</v>
      </c>
      <c r="H91" s="8"/>
      <c r="I91" s="3"/>
    </row>
    <row r="92" spans="1:9" x14ac:dyDescent="0.25">
      <c r="A92" s="2" t="s">
        <v>95</v>
      </c>
      <c r="B92" s="62">
        <v>20</v>
      </c>
      <c r="C92" s="63">
        <v>1560</v>
      </c>
      <c r="D92" s="63">
        <v>3120</v>
      </c>
      <c r="E92" s="65">
        <v>300</v>
      </c>
      <c r="H92" s="8"/>
      <c r="I92" s="3"/>
    </row>
    <row r="93" spans="1:9" x14ac:dyDescent="0.25">
      <c r="A93" s="2" t="s">
        <v>96</v>
      </c>
      <c r="B93" s="62">
        <v>20</v>
      </c>
      <c r="C93" s="63">
        <v>1560</v>
      </c>
      <c r="D93" s="63">
        <v>3120</v>
      </c>
      <c r="E93" s="65">
        <v>300</v>
      </c>
      <c r="H93" s="8"/>
      <c r="I93" s="3"/>
    </row>
    <row r="94" spans="1:9" x14ac:dyDescent="0.25">
      <c r="A94" s="2" t="s">
        <v>97</v>
      </c>
      <c r="B94" s="62">
        <v>20</v>
      </c>
      <c r="C94" s="63">
        <v>1560</v>
      </c>
      <c r="D94" s="63">
        <v>3120</v>
      </c>
      <c r="E94" s="65">
        <v>300</v>
      </c>
      <c r="H94" s="8"/>
      <c r="I94" s="3"/>
    </row>
    <row r="95" spans="1:9" x14ac:dyDescent="0.25">
      <c r="A95" s="2" t="s">
        <v>98</v>
      </c>
      <c r="B95" s="62">
        <v>20</v>
      </c>
      <c r="C95" s="63">
        <v>1560</v>
      </c>
      <c r="D95" s="63">
        <v>3120</v>
      </c>
      <c r="E95" s="65">
        <v>300</v>
      </c>
      <c r="H95" s="8"/>
      <c r="I95" s="3"/>
    </row>
    <row r="96" spans="1:9" ht="30" x14ac:dyDescent="0.25">
      <c r="A96" s="2" t="s">
        <v>99</v>
      </c>
      <c r="B96" s="62">
        <v>20</v>
      </c>
      <c r="C96" s="63">
        <v>1560</v>
      </c>
      <c r="D96" s="63">
        <v>3120</v>
      </c>
      <c r="E96" s="65">
        <v>300</v>
      </c>
      <c r="H96" s="8"/>
      <c r="I96" s="3"/>
    </row>
    <row r="97" spans="1:9" ht="30" x14ac:dyDescent="0.25">
      <c r="A97" s="2" t="s">
        <v>100</v>
      </c>
      <c r="B97" s="62">
        <v>20</v>
      </c>
      <c r="C97" s="63">
        <v>1560</v>
      </c>
      <c r="D97" s="63">
        <v>3120</v>
      </c>
      <c r="E97" s="65">
        <v>300</v>
      </c>
      <c r="H97" s="8"/>
      <c r="I97" s="3"/>
    </row>
    <row r="98" spans="1:9" x14ac:dyDescent="0.25">
      <c r="A98" s="2" t="s">
        <v>101</v>
      </c>
      <c r="B98" s="62">
        <v>20</v>
      </c>
      <c r="C98" s="63">
        <v>1560</v>
      </c>
      <c r="D98" s="63">
        <v>3120</v>
      </c>
      <c r="E98" s="65">
        <v>300</v>
      </c>
      <c r="H98" s="8"/>
      <c r="I98" s="3"/>
    </row>
    <row r="99" spans="1:9" x14ac:dyDescent="0.25">
      <c r="A99" s="2" t="s">
        <v>102</v>
      </c>
      <c r="B99" s="62">
        <v>20</v>
      </c>
      <c r="C99" s="63">
        <v>1560</v>
      </c>
      <c r="D99" s="63">
        <v>3120</v>
      </c>
      <c r="E99" s="65">
        <v>300</v>
      </c>
      <c r="H99" s="8"/>
      <c r="I99" s="3"/>
    </row>
    <row r="100" spans="1:9" x14ac:dyDescent="0.25">
      <c r="A100" s="2" t="s">
        <v>103</v>
      </c>
      <c r="B100" s="62">
        <v>20</v>
      </c>
      <c r="C100" s="63">
        <v>1560</v>
      </c>
      <c r="D100" s="63">
        <v>3120</v>
      </c>
      <c r="E100" s="65">
        <v>300</v>
      </c>
      <c r="H100" s="8"/>
      <c r="I100" s="3"/>
    </row>
    <row r="101" spans="1:9" x14ac:dyDescent="0.25">
      <c r="A101" s="2" t="s">
        <v>104</v>
      </c>
      <c r="B101" s="62">
        <v>20</v>
      </c>
      <c r="C101" s="63">
        <v>1480</v>
      </c>
      <c r="D101" s="63">
        <v>2960</v>
      </c>
      <c r="E101" s="65">
        <v>250</v>
      </c>
      <c r="H101" s="8"/>
      <c r="I101" s="3"/>
    </row>
    <row r="102" spans="1:9" x14ac:dyDescent="0.25">
      <c r="A102" s="2" t="s">
        <v>105</v>
      </c>
      <c r="B102" s="62">
        <v>20</v>
      </c>
      <c r="C102" s="63">
        <v>1560</v>
      </c>
      <c r="D102" s="63">
        <v>3120</v>
      </c>
      <c r="E102" s="65">
        <v>300</v>
      </c>
      <c r="H102" s="8"/>
      <c r="I102" s="3"/>
    </row>
    <row r="103" spans="1:9" ht="30" x14ac:dyDescent="0.25">
      <c r="A103" s="2" t="s">
        <v>106</v>
      </c>
      <c r="B103" s="62">
        <v>20</v>
      </c>
      <c r="C103" s="63">
        <v>1560</v>
      </c>
      <c r="D103" s="63">
        <v>3120</v>
      </c>
      <c r="E103" s="65">
        <v>300</v>
      </c>
      <c r="H103" s="8"/>
      <c r="I103" s="3"/>
    </row>
    <row r="104" spans="1:9" x14ac:dyDescent="0.25">
      <c r="A104" s="2" t="s">
        <v>107</v>
      </c>
      <c r="B104" s="62">
        <v>30</v>
      </c>
      <c r="C104" s="63">
        <v>1850</v>
      </c>
      <c r="D104" s="63">
        <v>5550</v>
      </c>
      <c r="E104" s="65">
        <v>350</v>
      </c>
      <c r="H104" s="8"/>
      <c r="I104" s="3"/>
    </row>
    <row r="105" spans="1:9" x14ac:dyDescent="0.25">
      <c r="A105" s="2" t="s">
        <v>108</v>
      </c>
      <c r="B105" s="62">
        <v>20</v>
      </c>
      <c r="C105" s="63">
        <v>1850</v>
      </c>
      <c r="D105" s="63">
        <v>3700</v>
      </c>
      <c r="E105" s="65">
        <v>350</v>
      </c>
      <c r="H105" s="8"/>
      <c r="I105" s="3"/>
    </row>
    <row r="106" spans="1:9" x14ac:dyDescent="0.25">
      <c r="A106" s="2" t="s">
        <v>109</v>
      </c>
      <c r="B106" s="62">
        <v>20</v>
      </c>
      <c r="C106" s="63">
        <v>1850</v>
      </c>
      <c r="D106" s="63">
        <v>3700</v>
      </c>
      <c r="E106" s="65">
        <v>350</v>
      </c>
      <c r="H106" s="8"/>
      <c r="I106" s="3"/>
    </row>
    <row r="107" spans="1:9" x14ac:dyDescent="0.25">
      <c r="A107" s="2" t="s">
        <v>110</v>
      </c>
      <c r="B107" s="62">
        <v>20</v>
      </c>
      <c r="C107" s="63">
        <v>1850</v>
      </c>
      <c r="D107" s="63">
        <v>3700</v>
      </c>
      <c r="E107" s="65">
        <v>350</v>
      </c>
      <c r="H107" s="8"/>
      <c r="I107" s="3"/>
    </row>
    <row r="108" spans="1:9" x14ac:dyDescent="0.25">
      <c r="A108" s="2" t="s">
        <v>111</v>
      </c>
      <c r="B108" s="62">
        <v>20</v>
      </c>
      <c r="C108" s="63">
        <v>1850</v>
      </c>
      <c r="D108" s="63">
        <v>3700</v>
      </c>
      <c r="E108" s="65">
        <v>350</v>
      </c>
      <c r="H108" s="8"/>
      <c r="I108" s="3"/>
    </row>
    <row r="109" spans="1:9" x14ac:dyDescent="0.25">
      <c r="A109" s="2" t="s">
        <v>112</v>
      </c>
      <c r="B109" s="62">
        <v>20</v>
      </c>
      <c r="C109" s="63">
        <v>1850</v>
      </c>
      <c r="D109" s="63">
        <v>3700</v>
      </c>
      <c r="E109" s="65">
        <v>350</v>
      </c>
      <c r="H109" s="8"/>
      <c r="I109" s="3"/>
    </row>
    <row r="110" spans="1:9" x14ac:dyDescent="0.25">
      <c r="A110" s="2" t="s">
        <v>113</v>
      </c>
      <c r="B110" s="62">
        <v>20</v>
      </c>
      <c r="C110" s="63">
        <v>1850</v>
      </c>
      <c r="D110" s="63">
        <v>3700</v>
      </c>
      <c r="E110" s="65">
        <v>350</v>
      </c>
      <c r="H110" s="8"/>
      <c r="I110" s="3"/>
    </row>
    <row r="111" spans="1:9" x14ac:dyDescent="0.25">
      <c r="A111" s="2" t="s">
        <v>114</v>
      </c>
      <c r="B111" s="62">
        <v>20</v>
      </c>
      <c r="C111" s="63">
        <v>1850</v>
      </c>
      <c r="D111" s="63">
        <v>3700</v>
      </c>
      <c r="E111" s="65">
        <v>350</v>
      </c>
      <c r="H111" s="8"/>
      <c r="I111" s="3"/>
    </row>
    <row r="112" spans="1:9" x14ac:dyDescent="0.25">
      <c r="A112" s="2" t="s">
        <v>115</v>
      </c>
      <c r="B112" s="62">
        <v>20</v>
      </c>
      <c r="C112" s="63">
        <v>1850</v>
      </c>
      <c r="D112" s="63">
        <v>3700</v>
      </c>
      <c r="E112" s="65">
        <v>350</v>
      </c>
      <c r="H112" s="8"/>
      <c r="I112" s="3"/>
    </row>
    <row r="113" spans="1:9" x14ac:dyDescent="0.25">
      <c r="A113" s="2" t="s">
        <v>116</v>
      </c>
      <c r="B113" s="62">
        <v>20</v>
      </c>
      <c r="C113" s="63">
        <v>1850</v>
      </c>
      <c r="D113" s="63">
        <v>3700</v>
      </c>
      <c r="E113" s="65">
        <v>350</v>
      </c>
      <c r="H113" s="8"/>
      <c r="I113" s="3"/>
    </row>
    <row r="114" spans="1:9" x14ac:dyDescent="0.25">
      <c r="A114" s="2" t="s">
        <v>117</v>
      </c>
      <c r="B114" s="62">
        <v>20</v>
      </c>
      <c r="C114" s="63">
        <v>1850</v>
      </c>
      <c r="D114" s="63">
        <v>3700</v>
      </c>
      <c r="E114" s="65">
        <v>350</v>
      </c>
      <c r="H114" s="8"/>
      <c r="I114" s="3"/>
    </row>
    <row r="115" spans="1:9" x14ac:dyDescent="0.25">
      <c r="A115" s="2" t="s">
        <v>118</v>
      </c>
      <c r="B115" s="62">
        <v>20</v>
      </c>
      <c r="C115" s="63">
        <v>1850</v>
      </c>
      <c r="D115" s="63">
        <v>3700</v>
      </c>
      <c r="E115" s="65">
        <v>350</v>
      </c>
      <c r="H115" s="8"/>
      <c r="I115" s="3"/>
    </row>
    <row r="116" spans="1:9" x14ac:dyDescent="0.25">
      <c r="A116" s="2" t="s">
        <v>119</v>
      </c>
      <c r="B116" s="62">
        <v>20</v>
      </c>
      <c r="C116" s="63">
        <v>1850</v>
      </c>
      <c r="D116" s="63">
        <v>3700</v>
      </c>
      <c r="E116" s="65">
        <v>350</v>
      </c>
      <c r="H116" s="8"/>
      <c r="I116" s="3"/>
    </row>
    <row r="117" spans="1:9" x14ac:dyDescent="0.25">
      <c r="A117" s="2" t="s">
        <v>120</v>
      </c>
      <c r="B117" s="62">
        <v>20</v>
      </c>
      <c r="C117" s="63">
        <v>1850</v>
      </c>
      <c r="D117" s="63">
        <v>3700</v>
      </c>
      <c r="E117" s="65">
        <v>350</v>
      </c>
      <c r="H117" s="8"/>
      <c r="I117" s="3"/>
    </row>
    <row r="118" spans="1:9" ht="30" x14ac:dyDescent="0.25">
      <c r="A118" s="2" t="s">
        <v>121</v>
      </c>
      <c r="B118" s="62">
        <v>20</v>
      </c>
      <c r="C118" s="63">
        <v>1740</v>
      </c>
      <c r="D118" s="63">
        <v>3480</v>
      </c>
      <c r="E118" s="65">
        <v>350</v>
      </c>
      <c r="H118" s="8"/>
      <c r="I118" s="3"/>
    </row>
    <row r="119" spans="1:9" x14ac:dyDescent="0.25">
      <c r="A119" s="2" t="s">
        <v>122</v>
      </c>
      <c r="B119" s="62">
        <v>20</v>
      </c>
      <c r="C119" s="63">
        <v>1850</v>
      </c>
      <c r="D119" s="63">
        <v>3700</v>
      </c>
      <c r="E119" s="65">
        <v>350</v>
      </c>
      <c r="H119" s="8"/>
      <c r="I119" s="3"/>
    </row>
    <row r="120" spans="1:9" ht="30" x14ac:dyDescent="0.25">
      <c r="A120" s="2" t="s">
        <v>123</v>
      </c>
      <c r="B120" s="62">
        <v>20</v>
      </c>
      <c r="C120" s="63">
        <v>1850</v>
      </c>
      <c r="D120" s="63">
        <v>3700</v>
      </c>
      <c r="E120" s="65">
        <v>350</v>
      </c>
      <c r="H120" s="8"/>
      <c r="I120" s="3"/>
    </row>
    <row r="121" spans="1:9" x14ac:dyDescent="0.25">
      <c r="A121" s="2" t="s">
        <v>124</v>
      </c>
      <c r="B121" s="62">
        <v>100</v>
      </c>
      <c r="C121" s="63">
        <v>2670</v>
      </c>
      <c r="D121" s="63">
        <v>2670</v>
      </c>
      <c r="E121" s="65">
        <v>150</v>
      </c>
      <c r="H121" s="8"/>
      <c r="I121" s="3"/>
    </row>
    <row r="122" spans="1:9" ht="30" x14ac:dyDescent="0.25">
      <c r="A122" s="2" t="s">
        <v>125</v>
      </c>
      <c r="B122" s="62">
        <v>100</v>
      </c>
      <c r="C122" s="63">
        <v>2510</v>
      </c>
      <c r="D122" s="63">
        <v>2510</v>
      </c>
      <c r="E122" s="65">
        <v>100</v>
      </c>
      <c r="H122" s="8"/>
      <c r="I122" s="3"/>
    </row>
    <row r="123" spans="1:9" x14ac:dyDescent="0.25">
      <c r="A123" s="2" t="s">
        <v>126</v>
      </c>
      <c r="B123" s="62">
        <v>5</v>
      </c>
      <c r="C123" s="66">
        <v>770</v>
      </c>
      <c r="D123" s="63">
        <v>3850</v>
      </c>
      <c r="E123" s="64">
        <v>1100</v>
      </c>
      <c r="H123" s="8"/>
      <c r="I123" s="3"/>
    </row>
    <row r="124" spans="1:9" x14ac:dyDescent="0.25">
      <c r="A124" s="2" t="s">
        <v>127</v>
      </c>
      <c r="B124" s="62">
        <v>40</v>
      </c>
      <c r="C124" s="66">
        <v>125</v>
      </c>
      <c r="D124" s="63">
        <v>5000</v>
      </c>
      <c r="E124" s="65">
        <v>300</v>
      </c>
      <c r="H124" s="8"/>
      <c r="I124" s="3"/>
    </row>
    <row r="125" spans="1:9" x14ac:dyDescent="0.25">
      <c r="A125" s="2" t="s">
        <v>128</v>
      </c>
      <c r="B125" s="62">
        <v>36</v>
      </c>
      <c r="C125" s="63">
        <v>4730</v>
      </c>
      <c r="D125" s="63">
        <v>4730</v>
      </c>
      <c r="E125" s="65">
        <v>200</v>
      </c>
      <c r="H125" s="8"/>
      <c r="I125" s="3"/>
    </row>
    <row r="126" spans="1:9" x14ac:dyDescent="0.25">
      <c r="A126" s="2" t="s">
        <v>129</v>
      </c>
      <c r="B126" s="62">
        <v>10</v>
      </c>
      <c r="C126" s="66">
        <v>800</v>
      </c>
      <c r="D126" s="63">
        <v>8000</v>
      </c>
      <c r="E126" s="64">
        <v>1350</v>
      </c>
      <c r="H126" s="8"/>
      <c r="I126" s="3"/>
    </row>
    <row r="127" spans="1:9" x14ac:dyDescent="0.25">
      <c r="A127" s="2" t="s">
        <v>130</v>
      </c>
      <c r="B127" s="62">
        <v>10</v>
      </c>
      <c r="C127" s="66">
        <v>190</v>
      </c>
      <c r="D127" s="63">
        <v>1900</v>
      </c>
      <c r="E127" s="65">
        <v>300</v>
      </c>
      <c r="H127" s="8"/>
      <c r="I127" s="3"/>
    </row>
    <row r="128" spans="1:9" x14ac:dyDescent="0.25">
      <c r="A128" s="2" t="s">
        <v>131</v>
      </c>
      <c r="B128" s="62">
        <v>10</v>
      </c>
      <c r="C128" s="66">
        <v>800</v>
      </c>
      <c r="D128" s="63">
        <v>8000</v>
      </c>
      <c r="E128" s="64">
        <v>1200</v>
      </c>
      <c r="H128" s="8"/>
      <c r="I128" s="3"/>
    </row>
    <row r="129" spans="1:9" x14ac:dyDescent="0.25">
      <c r="A129" s="2" t="s">
        <v>132</v>
      </c>
      <c r="B129" s="62">
        <v>5</v>
      </c>
      <c r="C129" s="66">
        <v>846</v>
      </c>
      <c r="D129" s="63">
        <v>4230</v>
      </c>
      <c r="E129" s="64">
        <v>1300</v>
      </c>
      <c r="H129" s="8"/>
      <c r="I129" s="3"/>
    </row>
    <row r="130" spans="1:9" x14ac:dyDescent="0.25">
      <c r="A130" s="2" t="s">
        <v>133</v>
      </c>
      <c r="B130" s="62">
        <v>500</v>
      </c>
      <c r="C130" s="66">
        <v>7</v>
      </c>
      <c r="D130" s="63">
        <v>3500</v>
      </c>
      <c r="E130" s="65">
        <v>30</v>
      </c>
      <c r="H130" s="8"/>
      <c r="I130" s="3"/>
    </row>
    <row r="131" spans="1:9" x14ac:dyDescent="0.25">
      <c r="A131" s="2" t="s">
        <v>134</v>
      </c>
      <c r="B131" s="62">
        <v>10</v>
      </c>
      <c r="C131" s="66">
        <v>830</v>
      </c>
      <c r="D131" s="63">
        <v>8300</v>
      </c>
      <c r="E131" s="64">
        <v>1200</v>
      </c>
      <c r="H131" s="8"/>
      <c r="I131" s="3"/>
    </row>
    <row r="132" spans="1:9" ht="30" x14ac:dyDescent="0.25">
      <c r="A132" s="2" t="s">
        <v>135</v>
      </c>
      <c r="B132" s="62">
        <v>100</v>
      </c>
      <c r="C132" s="63">
        <v>6830</v>
      </c>
      <c r="D132" s="63">
        <v>6830</v>
      </c>
      <c r="E132" s="65">
        <v>250</v>
      </c>
      <c r="H132" s="8"/>
      <c r="I132" s="3"/>
    </row>
    <row r="133" spans="1:9" ht="30" x14ac:dyDescent="0.25">
      <c r="A133" s="2" t="s">
        <v>136</v>
      </c>
      <c r="B133" s="62">
        <v>5</v>
      </c>
      <c r="C133" s="66">
        <v>870</v>
      </c>
      <c r="D133" s="63">
        <v>4350</v>
      </c>
      <c r="E133" s="64">
        <v>1300</v>
      </c>
      <c r="H133" s="8"/>
      <c r="I133" s="3"/>
    </row>
    <row r="134" spans="1:9" ht="30" x14ac:dyDescent="0.25">
      <c r="A134" s="2" t="s">
        <v>137</v>
      </c>
      <c r="B134" s="62">
        <v>5</v>
      </c>
      <c r="C134" s="66">
        <v>780</v>
      </c>
      <c r="D134" s="63">
        <v>3900</v>
      </c>
      <c r="E134" s="64">
        <v>1100</v>
      </c>
      <c r="H134" s="8"/>
      <c r="I134" s="3"/>
    </row>
    <row r="135" spans="1:9" x14ac:dyDescent="0.25">
      <c r="A135" s="2" t="s">
        <v>138</v>
      </c>
      <c r="B135" s="62">
        <v>5</v>
      </c>
      <c r="C135" s="66">
        <v>890</v>
      </c>
      <c r="D135" s="63">
        <v>4450</v>
      </c>
      <c r="E135" s="64">
        <v>1250</v>
      </c>
      <c r="H135" s="8"/>
      <c r="I135" s="3"/>
    </row>
    <row r="136" spans="1:9" x14ac:dyDescent="0.25">
      <c r="A136" s="2" t="s">
        <v>139</v>
      </c>
      <c r="B136" s="62">
        <v>12</v>
      </c>
      <c r="C136" s="63">
        <v>1700</v>
      </c>
      <c r="D136" s="63">
        <v>1700</v>
      </c>
      <c r="E136" s="65">
        <v>200</v>
      </c>
      <c r="H136" s="9"/>
      <c r="I136" s="3"/>
    </row>
    <row r="137" spans="1:9" ht="30" x14ac:dyDescent="0.25">
      <c r="A137" s="2" t="s">
        <v>140</v>
      </c>
      <c r="B137" s="62">
        <v>12</v>
      </c>
      <c r="C137" s="63">
        <v>3650</v>
      </c>
      <c r="D137" s="63">
        <v>3650</v>
      </c>
      <c r="E137" s="65">
        <v>450</v>
      </c>
      <c r="H137" s="8"/>
      <c r="I137" s="3"/>
    </row>
    <row r="138" spans="1:9" x14ac:dyDescent="0.25">
      <c r="A138" s="2" t="s">
        <v>141</v>
      </c>
      <c r="B138" s="62">
        <v>15</v>
      </c>
      <c r="C138" s="66">
        <v>860</v>
      </c>
      <c r="D138" s="63">
        <v>12900</v>
      </c>
      <c r="E138" s="64">
        <v>1200</v>
      </c>
      <c r="H138" s="8"/>
      <c r="I138" s="3"/>
    </row>
    <row r="139" spans="1:9" ht="30" x14ac:dyDescent="0.25">
      <c r="A139" s="2" t="s">
        <v>142</v>
      </c>
      <c r="B139" s="62">
        <v>10</v>
      </c>
      <c r="C139" s="66">
        <v>420</v>
      </c>
      <c r="D139" s="63">
        <v>4200</v>
      </c>
      <c r="E139" s="65">
        <v>600</v>
      </c>
      <c r="H139" s="8"/>
      <c r="I139" s="3"/>
    </row>
    <row r="140" spans="1:9" x14ac:dyDescent="0.25">
      <c r="A140" s="2" t="s">
        <v>143</v>
      </c>
      <c r="B140" s="62">
        <v>5</v>
      </c>
      <c r="C140" s="66">
        <v>840</v>
      </c>
      <c r="D140" s="63">
        <v>4200</v>
      </c>
      <c r="E140" s="64">
        <v>1200</v>
      </c>
      <c r="H140" s="8"/>
      <c r="I140" s="3"/>
    </row>
    <row r="141" spans="1:9" x14ac:dyDescent="0.25">
      <c r="A141" s="2" t="s">
        <v>144</v>
      </c>
      <c r="B141" s="62">
        <v>5</v>
      </c>
      <c r="C141" s="63">
        <v>1500</v>
      </c>
      <c r="D141" s="63">
        <v>7500</v>
      </c>
      <c r="E141" s="64">
        <v>2100</v>
      </c>
      <c r="H141" s="8"/>
      <c r="I141" s="3"/>
    </row>
    <row r="142" spans="1:9" x14ac:dyDescent="0.25">
      <c r="A142" s="2" t="s">
        <v>145</v>
      </c>
      <c r="B142" s="62">
        <v>15</v>
      </c>
      <c r="C142" s="63">
        <v>1000</v>
      </c>
      <c r="D142" s="63">
        <v>15000</v>
      </c>
      <c r="E142" s="64">
        <v>1500</v>
      </c>
      <c r="H142" s="8"/>
      <c r="I142" s="3"/>
    </row>
    <row r="143" spans="1:9" x14ac:dyDescent="0.25">
      <c r="A143" s="2" t="s">
        <v>146</v>
      </c>
      <c r="B143" s="62">
        <v>7</v>
      </c>
      <c r="C143" s="66">
        <v>780</v>
      </c>
      <c r="D143" s="63">
        <v>5460</v>
      </c>
      <c r="E143" s="64">
        <v>1300</v>
      </c>
      <c r="H143" s="8"/>
      <c r="I143" s="3"/>
    </row>
    <row r="144" spans="1:9" x14ac:dyDescent="0.25">
      <c r="A144" s="2" t="s">
        <v>147</v>
      </c>
      <c r="B144" s="62">
        <v>12</v>
      </c>
      <c r="C144" s="63">
        <v>3940</v>
      </c>
      <c r="D144" s="63">
        <v>3940</v>
      </c>
      <c r="E144" s="65">
        <v>600</v>
      </c>
      <c r="H144" s="8"/>
      <c r="I144" s="3"/>
    </row>
    <row r="145" spans="1:9" x14ac:dyDescent="0.25">
      <c r="A145" s="2" t="s">
        <v>148</v>
      </c>
      <c r="B145" s="62">
        <v>3</v>
      </c>
      <c r="C145" s="66">
        <v>950</v>
      </c>
      <c r="D145" s="63">
        <v>2850</v>
      </c>
      <c r="E145" s="64">
        <v>1400</v>
      </c>
      <c r="H145" s="8"/>
      <c r="I145" s="3"/>
    </row>
    <row r="146" spans="1:9" ht="30" x14ac:dyDescent="0.25">
      <c r="A146" s="2" t="s">
        <v>149</v>
      </c>
      <c r="B146" s="62">
        <v>24</v>
      </c>
      <c r="C146" s="63">
        <v>1570</v>
      </c>
      <c r="D146" s="63">
        <v>3140</v>
      </c>
      <c r="E146" s="65">
        <v>200</v>
      </c>
      <c r="H146" s="8"/>
      <c r="I146" s="3"/>
    </row>
    <row r="147" spans="1:9" x14ac:dyDescent="0.25">
      <c r="A147" s="2" t="s">
        <v>150</v>
      </c>
      <c r="B147" s="62">
        <v>10</v>
      </c>
      <c r="C147" s="66">
        <v>150</v>
      </c>
      <c r="D147" s="63">
        <v>1500</v>
      </c>
      <c r="E147" s="65">
        <v>250</v>
      </c>
      <c r="H147" s="8"/>
      <c r="I147" s="3"/>
    </row>
    <row r="148" spans="1:9" ht="30" x14ac:dyDescent="0.25">
      <c r="A148" s="2" t="s">
        <v>151</v>
      </c>
      <c r="B148" s="62">
        <v>36</v>
      </c>
      <c r="C148" s="66">
        <v>790</v>
      </c>
      <c r="D148" s="63">
        <v>2370</v>
      </c>
      <c r="E148" s="65">
        <v>150</v>
      </c>
      <c r="H148" s="8"/>
      <c r="I148" s="3"/>
    </row>
    <row r="149" spans="1:9" x14ac:dyDescent="0.25">
      <c r="A149" s="2" t="s">
        <v>152</v>
      </c>
      <c r="B149" s="62">
        <v>2</v>
      </c>
      <c r="C149" s="63">
        <v>2500</v>
      </c>
      <c r="D149" s="63">
        <v>5000</v>
      </c>
      <c r="E149" s="64">
        <v>3700</v>
      </c>
      <c r="H149" s="8"/>
      <c r="I149" s="3"/>
    </row>
    <row r="150" spans="1:9" x14ac:dyDescent="0.25">
      <c r="A150" s="2" t="s">
        <v>153</v>
      </c>
      <c r="B150" s="62">
        <v>50</v>
      </c>
      <c r="C150" s="63">
        <v>5030</v>
      </c>
      <c r="D150" s="63">
        <v>5030</v>
      </c>
      <c r="E150" s="65">
        <v>200</v>
      </c>
      <c r="H150" s="8"/>
      <c r="I150" s="3"/>
    </row>
    <row r="151" spans="1:9" ht="30" x14ac:dyDescent="0.25">
      <c r="A151" s="2" t="s">
        <v>154</v>
      </c>
      <c r="B151" s="62">
        <v>50</v>
      </c>
      <c r="C151" s="63">
        <v>9480</v>
      </c>
      <c r="D151" s="63">
        <v>9480</v>
      </c>
      <c r="E151" s="65">
        <v>300</v>
      </c>
      <c r="H151" s="8"/>
      <c r="I151" s="3"/>
    </row>
    <row r="152" spans="1:9" ht="30" x14ac:dyDescent="0.25">
      <c r="A152" s="2" t="s">
        <v>155</v>
      </c>
      <c r="B152" s="62">
        <v>50</v>
      </c>
      <c r="C152" s="63">
        <v>9480</v>
      </c>
      <c r="D152" s="63">
        <v>9480</v>
      </c>
      <c r="E152" s="65">
        <v>300</v>
      </c>
      <c r="H152" s="8"/>
      <c r="I152" s="3"/>
    </row>
    <row r="153" spans="1:9" ht="30" x14ac:dyDescent="0.25">
      <c r="A153" s="2" t="s">
        <v>156</v>
      </c>
      <c r="B153" s="62">
        <v>50</v>
      </c>
      <c r="C153" s="63">
        <v>9480</v>
      </c>
      <c r="D153" s="63">
        <v>9480</v>
      </c>
      <c r="E153" s="65">
        <v>300</v>
      </c>
      <c r="H153" s="8"/>
      <c r="I153" s="3"/>
    </row>
    <row r="154" spans="1:9" ht="30" x14ac:dyDescent="0.25">
      <c r="A154" s="2" t="s">
        <v>157</v>
      </c>
      <c r="B154" s="62">
        <v>50</v>
      </c>
      <c r="C154" s="63">
        <v>5030</v>
      </c>
      <c r="D154" s="63">
        <v>5030</v>
      </c>
      <c r="E154" s="65">
        <v>200</v>
      </c>
      <c r="H154" s="8"/>
      <c r="I154" s="3"/>
    </row>
    <row r="155" spans="1:9" x14ac:dyDescent="0.25">
      <c r="A155" s="2" t="s">
        <v>158</v>
      </c>
      <c r="B155" s="62">
        <v>50</v>
      </c>
      <c r="C155" s="63">
        <v>5030</v>
      </c>
      <c r="D155" s="63">
        <v>5030</v>
      </c>
      <c r="E155" s="65">
        <v>200</v>
      </c>
      <c r="H155" s="8"/>
      <c r="I155" s="3"/>
    </row>
    <row r="156" spans="1:9" x14ac:dyDescent="0.25">
      <c r="A156" s="2" t="s">
        <v>159</v>
      </c>
      <c r="B156" s="62">
        <v>15</v>
      </c>
      <c r="C156" s="63">
        <v>1000</v>
      </c>
      <c r="D156" s="63">
        <v>15000</v>
      </c>
      <c r="E156" s="64">
        <v>1400</v>
      </c>
      <c r="H156" s="8"/>
      <c r="I156" s="3"/>
    </row>
    <row r="157" spans="1:9" ht="30" x14ac:dyDescent="0.25">
      <c r="A157" s="2" t="s">
        <v>160</v>
      </c>
      <c r="B157" s="62">
        <v>12</v>
      </c>
      <c r="C157" s="63">
        <v>7140</v>
      </c>
      <c r="D157" s="63">
        <v>7140</v>
      </c>
      <c r="E157" s="65">
        <v>900</v>
      </c>
      <c r="H157" s="8"/>
      <c r="I157" s="3"/>
    </row>
    <row r="158" spans="1:9" ht="30" x14ac:dyDescent="0.25">
      <c r="A158" s="2" t="s">
        <v>161</v>
      </c>
      <c r="B158" s="62">
        <v>12</v>
      </c>
      <c r="C158" s="63">
        <v>6960</v>
      </c>
      <c r="D158" s="63">
        <v>6960</v>
      </c>
      <c r="E158" s="65">
        <v>900</v>
      </c>
      <c r="H158" s="8"/>
      <c r="I158" s="3"/>
    </row>
    <row r="159" spans="1:9" ht="30" x14ac:dyDescent="0.25">
      <c r="A159" s="2" t="s">
        <v>162</v>
      </c>
      <c r="B159" s="62">
        <v>12</v>
      </c>
      <c r="C159" s="63">
        <v>6960</v>
      </c>
      <c r="D159" s="63">
        <v>6960</v>
      </c>
      <c r="E159" s="65">
        <v>900</v>
      </c>
      <c r="H159" s="8"/>
      <c r="I159" s="3"/>
    </row>
    <row r="160" spans="1:9" x14ac:dyDescent="0.25">
      <c r="A160" s="2" t="s">
        <v>163</v>
      </c>
      <c r="B160" s="62">
        <v>4</v>
      </c>
      <c r="C160" s="66">
        <v>970</v>
      </c>
      <c r="D160" s="63">
        <v>3880</v>
      </c>
      <c r="E160" s="64">
        <v>1400</v>
      </c>
      <c r="H160" s="8"/>
      <c r="I160" s="3"/>
    </row>
    <row r="161" spans="1:9" ht="30" x14ac:dyDescent="0.25">
      <c r="A161" s="2" t="s">
        <v>164</v>
      </c>
      <c r="B161" s="62">
        <v>30</v>
      </c>
      <c r="C161" s="66">
        <v>930</v>
      </c>
      <c r="D161" s="66">
        <v>930</v>
      </c>
      <c r="E161" s="65">
        <v>50</v>
      </c>
      <c r="H161" s="9"/>
      <c r="I161" s="3"/>
    </row>
    <row r="162" spans="1:9" ht="30" x14ac:dyDescent="0.25">
      <c r="A162" s="2" t="s">
        <v>165</v>
      </c>
      <c r="B162" s="62">
        <v>90</v>
      </c>
      <c r="C162" s="66">
        <v>870</v>
      </c>
      <c r="D162" s="63">
        <v>2610</v>
      </c>
      <c r="E162" s="65">
        <v>50</v>
      </c>
      <c r="H162" s="8"/>
      <c r="I162" s="3"/>
    </row>
    <row r="163" spans="1:9" x14ac:dyDescent="0.25">
      <c r="A163" s="2" t="s">
        <v>166</v>
      </c>
      <c r="B163" s="62">
        <v>5</v>
      </c>
      <c r="C163" s="66">
        <v>660</v>
      </c>
      <c r="D163" s="63">
        <v>3300</v>
      </c>
      <c r="E163" s="64">
        <v>1500</v>
      </c>
      <c r="H163" s="8"/>
      <c r="I163" s="3"/>
    </row>
    <row r="164" spans="1:9" ht="30" x14ac:dyDescent="0.25">
      <c r="A164" s="2" t="s">
        <v>167</v>
      </c>
      <c r="B164" s="62">
        <v>12</v>
      </c>
      <c r="C164" s="63">
        <v>3940</v>
      </c>
      <c r="D164" s="63">
        <v>3940</v>
      </c>
      <c r="E164" s="65">
        <v>500</v>
      </c>
      <c r="H164" s="8"/>
      <c r="I164" s="3"/>
    </row>
    <row r="165" spans="1:9" ht="30" x14ac:dyDescent="0.25">
      <c r="A165" s="2" t="s">
        <v>168</v>
      </c>
      <c r="B165" s="62">
        <v>12</v>
      </c>
      <c r="C165" s="63">
        <v>3000</v>
      </c>
      <c r="D165" s="63">
        <v>3000</v>
      </c>
      <c r="E165" s="65">
        <v>400</v>
      </c>
      <c r="H165" s="8"/>
      <c r="I165" s="3"/>
    </row>
    <row r="166" spans="1:9" ht="30" x14ac:dyDescent="0.25">
      <c r="A166" s="2" t="s">
        <v>169</v>
      </c>
      <c r="B166" s="62">
        <v>12</v>
      </c>
      <c r="C166" s="63">
        <v>3000</v>
      </c>
      <c r="D166" s="63">
        <v>3000</v>
      </c>
      <c r="E166" s="65">
        <v>400</v>
      </c>
      <c r="H166" s="8"/>
      <c r="I166" s="3"/>
    </row>
    <row r="167" spans="1:9" ht="30" x14ac:dyDescent="0.25">
      <c r="A167" s="2" t="s">
        <v>170</v>
      </c>
      <c r="B167" s="62">
        <v>12</v>
      </c>
      <c r="C167" s="63">
        <v>3000</v>
      </c>
      <c r="D167" s="63">
        <v>3000</v>
      </c>
      <c r="E167" s="65">
        <v>400</v>
      </c>
      <c r="H167" s="8"/>
      <c r="I167" s="3"/>
    </row>
    <row r="168" spans="1:9" ht="30" x14ac:dyDescent="0.25">
      <c r="A168" s="2" t="s">
        <v>171</v>
      </c>
      <c r="B168" s="62">
        <v>12</v>
      </c>
      <c r="C168" s="63">
        <v>2630</v>
      </c>
      <c r="D168" s="63">
        <v>2630</v>
      </c>
      <c r="E168" s="65">
        <v>350</v>
      </c>
      <c r="H168" s="8"/>
      <c r="I168" s="3"/>
    </row>
    <row r="169" spans="1:9" ht="30" x14ac:dyDescent="0.25">
      <c r="A169" s="2" t="s">
        <v>172</v>
      </c>
      <c r="B169" s="62">
        <v>12</v>
      </c>
      <c r="C169" s="63">
        <v>2630</v>
      </c>
      <c r="D169" s="63">
        <v>2630</v>
      </c>
      <c r="E169" s="65">
        <v>350</v>
      </c>
      <c r="H169" s="8"/>
      <c r="I169" s="3"/>
    </row>
    <row r="170" spans="1:9" ht="30" x14ac:dyDescent="0.25">
      <c r="A170" s="2" t="s">
        <v>173</v>
      </c>
      <c r="B170" s="62">
        <v>12</v>
      </c>
      <c r="C170" s="63">
        <v>2630</v>
      </c>
      <c r="D170" s="63">
        <v>2630</v>
      </c>
      <c r="E170" s="65">
        <v>350</v>
      </c>
      <c r="H170" s="8"/>
      <c r="I170" s="3"/>
    </row>
    <row r="171" spans="1:9" x14ac:dyDescent="0.25">
      <c r="A171" s="2" t="s">
        <v>174</v>
      </c>
      <c r="B171" s="62">
        <v>12</v>
      </c>
      <c r="C171" s="66">
        <v>113</v>
      </c>
      <c r="D171" s="63">
        <v>1356</v>
      </c>
      <c r="E171" s="65">
        <v>200</v>
      </c>
      <c r="H171" s="8"/>
      <c r="I171" s="3"/>
    </row>
    <row r="172" spans="1:9" x14ac:dyDescent="0.25">
      <c r="A172" s="2" t="s">
        <v>175</v>
      </c>
      <c r="B172" s="62">
        <v>23</v>
      </c>
      <c r="C172" s="66">
        <v>170</v>
      </c>
      <c r="D172" s="63">
        <v>3910</v>
      </c>
      <c r="E172" s="65">
        <v>300</v>
      </c>
      <c r="H172" s="8"/>
      <c r="I172" s="3"/>
    </row>
    <row r="173" spans="1:9" x14ac:dyDescent="0.25">
      <c r="A173" s="2" t="s">
        <v>176</v>
      </c>
      <c r="B173" s="62">
        <v>24</v>
      </c>
      <c r="C173" s="63">
        <v>3570</v>
      </c>
      <c r="D173" s="63">
        <v>3570</v>
      </c>
      <c r="E173" s="65">
        <v>300</v>
      </c>
      <c r="H173" s="8"/>
      <c r="I173" s="3"/>
    </row>
    <row r="174" spans="1:9" x14ac:dyDescent="0.25">
      <c r="A174" s="2" t="s">
        <v>177</v>
      </c>
      <c r="B174" s="62">
        <v>24</v>
      </c>
      <c r="C174" s="63">
        <v>5320</v>
      </c>
      <c r="D174" s="63">
        <v>5320</v>
      </c>
      <c r="E174" s="65">
        <v>400</v>
      </c>
      <c r="H174" s="8"/>
      <c r="I174" s="3"/>
    </row>
    <row r="175" spans="1:9" ht="30" x14ac:dyDescent="0.25">
      <c r="A175" s="2" t="s">
        <v>178</v>
      </c>
      <c r="B175" s="62">
        <v>3</v>
      </c>
      <c r="C175" s="66">
        <v>860</v>
      </c>
      <c r="D175" s="63">
        <v>2580</v>
      </c>
      <c r="E175" s="64">
        <v>1600</v>
      </c>
      <c r="H175" s="8"/>
      <c r="I175" s="3"/>
    </row>
    <row r="176" spans="1:9" ht="30" x14ac:dyDescent="0.25">
      <c r="A176" s="2" t="s">
        <v>179</v>
      </c>
      <c r="B176" s="62">
        <v>3</v>
      </c>
      <c r="C176" s="66">
        <v>860</v>
      </c>
      <c r="D176" s="63">
        <v>2580</v>
      </c>
      <c r="E176" s="64">
        <v>1600</v>
      </c>
      <c r="H176" s="8"/>
      <c r="I176" s="3"/>
    </row>
    <row r="177" spans="1:9" ht="30" x14ac:dyDescent="0.25">
      <c r="A177" s="2" t="s">
        <v>180</v>
      </c>
      <c r="B177" s="62">
        <v>3</v>
      </c>
      <c r="C177" s="66">
        <v>860</v>
      </c>
      <c r="D177" s="63">
        <v>2580</v>
      </c>
      <c r="E177" s="64">
        <v>1600</v>
      </c>
      <c r="H177" s="8"/>
      <c r="I177" s="3"/>
    </row>
    <row r="178" spans="1:9" ht="30" x14ac:dyDescent="0.25">
      <c r="A178" s="2" t="s">
        <v>181</v>
      </c>
      <c r="B178" s="62">
        <v>3</v>
      </c>
      <c r="C178" s="66">
        <v>860</v>
      </c>
      <c r="D178" s="63">
        <v>2580</v>
      </c>
      <c r="E178" s="64">
        <v>1600</v>
      </c>
      <c r="H178" s="8"/>
      <c r="I178" s="3"/>
    </row>
    <row r="179" spans="1:9" ht="30" x14ac:dyDescent="0.25">
      <c r="A179" s="2" t="s">
        <v>182</v>
      </c>
      <c r="B179" s="62">
        <v>3</v>
      </c>
      <c r="C179" s="66">
        <v>860</v>
      </c>
      <c r="D179" s="63">
        <v>2580</v>
      </c>
      <c r="E179" s="64">
        <v>1600</v>
      </c>
      <c r="H179" s="8"/>
      <c r="I179" s="3"/>
    </row>
    <row r="180" spans="1:9" ht="30" x14ac:dyDescent="0.25">
      <c r="A180" s="2" t="s">
        <v>183</v>
      </c>
      <c r="B180" s="62">
        <v>3</v>
      </c>
      <c r="C180" s="66">
        <v>860</v>
      </c>
      <c r="D180" s="63">
        <v>2580</v>
      </c>
      <c r="E180" s="64">
        <v>1600</v>
      </c>
      <c r="H180" s="8"/>
      <c r="I180" s="3"/>
    </row>
    <row r="181" spans="1:9" ht="30" x14ac:dyDescent="0.25">
      <c r="A181" s="2" t="s">
        <v>184</v>
      </c>
      <c r="B181" s="62">
        <v>3</v>
      </c>
      <c r="C181" s="66">
        <v>860</v>
      </c>
      <c r="D181" s="63">
        <v>2580</v>
      </c>
      <c r="E181" s="64">
        <v>1600</v>
      </c>
      <c r="H181" s="8"/>
      <c r="I181" s="3"/>
    </row>
    <row r="182" spans="1:9" ht="30" x14ac:dyDescent="0.25">
      <c r="A182" s="2" t="s">
        <v>185</v>
      </c>
      <c r="B182" s="62">
        <v>4</v>
      </c>
      <c r="C182" s="66">
        <v>970</v>
      </c>
      <c r="D182" s="63">
        <v>3880</v>
      </c>
      <c r="E182" s="64">
        <v>1400</v>
      </c>
      <c r="H182" s="8"/>
      <c r="I182" s="3"/>
    </row>
    <row r="183" spans="1:9" ht="30" x14ac:dyDescent="0.25">
      <c r="A183" s="2" t="s">
        <v>186</v>
      </c>
      <c r="B183" s="62">
        <v>3</v>
      </c>
      <c r="C183" s="66">
        <v>300</v>
      </c>
      <c r="D183" s="66">
        <v>900</v>
      </c>
      <c r="E183" s="65">
        <v>500</v>
      </c>
      <c r="H183" s="9"/>
      <c r="I183" s="3"/>
    </row>
    <row r="184" spans="1:9" ht="30" x14ac:dyDescent="0.25">
      <c r="A184" s="2" t="s">
        <v>187</v>
      </c>
      <c r="B184" s="62">
        <v>3</v>
      </c>
      <c r="C184" s="66">
        <v>300</v>
      </c>
      <c r="D184" s="66">
        <v>900</v>
      </c>
      <c r="E184" s="65">
        <v>500</v>
      </c>
      <c r="H184" s="9"/>
      <c r="I184" s="3"/>
    </row>
    <row r="185" spans="1:9" ht="30" x14ac:dyDescent="0.25">
      <c r="A185" s="2" t="s">
        <v>188</v>
      </c>
      <c r="B185" s="62">
        <v>3</v>
      </c>
      <c r="C185" s="66">
        <v>320</v>
      </c>
      <c r="D185" s="66">
        <v>960</v>
      </c>
      <c r="E185" s="65">
        <v>500</v>
      </c>
      <c r="H185" s="9"/>
      <c r="I185" s="3"/>
    </row>
    <row r="186" spans="1:9" ht="30" x14ac:dyDescent="0.25">
      <c r="A186" s="2" t="s">
        <v>189</v>
      </c>
      <c r="B186" s="62">
        <v>3</v>
      </c>
      <c r="C186" s="66">
        <v>300</v>
      </c>
      <c r="D186" s="66">
        <v>900</v>
      </c>
      <c r="E186" s="65">
        <v>500</v>
      </c>
      <c r="H186" s="9"/>
      <c r="I186" s="3"/>
    </row>
    <row r="187" spans="1:9" ht="30" x14ac:dyDescent="0.25">
      <c r="A187" s="2" t="s">
        <v>190</v>
      </c>
      <c r="B187" s="62">
        <v>3</v>
      </c>
      <c r="C187" s="66">
        <v>300</v>
      </c>
      <c r="D187" s="66">
        <v>900</v>
      </c>
      <c r="E187" s="65">
        <v>500</v>
      </c>
      <c r="H187" s="9"/>
      <c r="I187" s="3"/>
    </row>
    <row r="188" spans="1:9" ht="30" x14ac:dyDescent="0.25">
      <c r="A188" s="2" t="s">
        <v>191</v>
      </c>
      <c r="B188" s="62">
        <v>3</v>
      </c>
      <c r="C188" s="66">
        <v>300</v>
      </c>
      <c r="D188" s="66">
        <v>900</v>
      </c>
      <c r="E188" s="65">
        <v>500</v>
      </c>
      <c r="H188" s="9"/>
      <c r="I188" s="3"/>
    </row>
    <row r="189" spans="1:9" ht="30" x14ac:dyDescent="0.25">
      <c r="A189" s="2" t="s">
        <v>192</v>
      </c>
      <c r="B189" s="62">
        <v>3</v>
      </c>
      <c r="C189" s="66">
        <v>300</v>
      </c>
      <c r="D189" s="66">
        <v>900</v>
      </c>
      <c r="E189" s="65">
        <v>500</v>
      </c>
      <c r="H189" s="9"/>
      <c r="I189" s="3"/>
    </row>
    <row r="190" spans="1:9" ht="30" x14ac:dyDescent="0.25">
      <c r="A190" s="2" t="s">
        <v>193</v>
      </c>
      <c r="B190" s="62">
        <v>3</v>
      </c>
      <c r="C190" s="66">
        <v>300</v>
      </c>
      <c r="D190" s="66">
        <v>900</v>
      </c>
      <c r="E190" s="65">
        <v>500</v>
      </c>
      <c r="H190" s="9"/>
      <c r="I190" s="3"/>
    </row>
    <row r="191" spans="1:9" ht="30" x14ac:dyDescent="0.25">
      <c r="A191" s="2" t="s">
        <v>194</v>
      </c>
      <c r="B191" s="62">
        <v>3</v>
      </c>
      <c r="C191" s="66">
        <v>300</v>
      </c>
      <c r="D191" s="66">
        <v>900</v>
      </c>
      <c r="E191" s="65">
        <v>500</v>
      </c>
      <c r="H191" s="9"/>
      <c r="I191" s="3"/>
    </row>
    <row r="192" spans="1:9" ht="30" x14ac:dyDescent="0.25">
      <c r="A192" s="2" t="s">
        <v>195</v>
      </c>
      <c r="B192" s="62">
        <v>3</v>
      </c>
      <c r="C192" s="66">
        <v>850</v>
      </c>
      <c r="D192" s="63">
        <v>2550</v>
      </c>
      <c r="E192" s="64">
        <v>1200</v>
      </c>
      <c r="H192" s="8"/>
      <c r="I192" s="3"/>
    </row>
    <row r="193" spans="1:9" ht="30" x14ac:dyDescent="0.25">
      <c r="A193" s="2" t="s">
        <v>196</v>
      </c>
      <c r="B193" s="62">
        <v>3</v>
      </c>
      <c r="C193" s="66">
        <v>850</v>
      </c>
      <c r="D193" s="63">
        <v>2550</v>
      </c>
      <c r="E193" s="64">
        <v>1200</v>
      </c>
      <c r="H193" s="8"/>
      <c r="I193" s="3"/>
    </row>
    <row r="194" spans="1:9" ht="30" x14ac:dyDescent="0.25">
      <c r="A194" s="2" t="s">
        <v>197</v>
      </c>
      <c r="B194" s="62">
        <v>3</v>
      </c>
      <c r="C194" s="66">
        <v>850</v>
      </c>
      <c r="D194" s="63">
        <v>2550</v>
      </c>
      <c r="E194" s="64">
        <v>1200</v>
      </c>
      <c r="H194" s="8"/>
      <c r="I194" s="3"/>
    </row>
    <row r="195" spans="1:9" ht="30" x14ac:dyDescent="0.25">
      <c r="A195" s="2" t="s">
        <v>198</v>
      </c>
      <c r="B195" s="62">
        <v>3</v>
      </c>
      <c r="C195" s="66">
        <v>850</v>
      </c>
      <c r="D195" s="63">
        <v>2550</v>
      </c>
      <c r="E195" s="64">
        <v>1200</v>
      </c>
      <c r="H195" s="8"/>
      <c r="I195" s="3"/>
    </row>
    <row r="196" spans="1:9" x14ac:dyDescent="0.25">
      <c r="A196" s="2" t="s">
        <v>199</v>
      </c>
      <c r="B196" s="62">
        <v>10</v>
      </c>
      <c r="C196" s="66">
        <v>360</v>
      </c>
      <c r="D196" s="63">
        <v>3600</v>
      </c>
      <c r="E196" s="65">
        <v>500</v>
      </c>
      <c r="H196" s="8"/>
      <c r="I196" s="3"/>
    </row>
    <row r="197" spans="1:9" x14ac:dyDescent="0.25">
      <c r="A197" s="2" t="s">
        <v>200</v>
      </c>
      <c r="B197" s="62">
        <v>10</v>
      </c>
      <c r="C197" s="66">
        <v>418</v>
      </c>
      <c r="D197" s="63">
        <v>4180</v>
      </c>
      <c r="E197" s="65">
        <v>600</v>
      </c>
      <c r="H197" s="8"/>
      <c r="I197" s="3"/>
    </row>
    <row r="198" spans="1:9" ht="30" x14ac:dyDescent="0.25">
      <c r="A198" s="2" t="s">
        <v>201</v>
      </c>
      <c r="B198" s="62">
        <v>100</v>
      </c>
      <c r="C198" s="63">
        <v>8490</v>
      </c>
      <c r="D198" s="63">
        <v>8490</v>
      </c>
      <c r="E198" s="65">
        <v>200</v>
      </c>
      <c r="H198" s="8"/>
      <c r="I198" s="3"/>
    </row>
    <row r="199" spans="1:9" x14ac:dyDescent="0.25">
      <c r="A199" s="2" t="s">
        <v>202</v>
      </c>
      <c r="B199" s="62">
        <v>100</v>
      </c>
      <c r="C199" s="63">
        <v>8480</v>
      </c>
      <c r="D199" s="63">
        <v>8480</v>
      </c>
      <c r="E199" s="65">
        <v>200</v>
      </c>
      <c r="H199" s="8"/>
      <c r="I199" s="3"/>
    </row>
    <row r="200" spans="1:9" x14ac:dyDescent="0.25">
      <c r="A200" s="2" t="s">
        <v>203</v>
      </c>
      <c r="B200" s="62">
        <v>8</v>
      </c>
      <c r="C200" s="66">
        <v>350</v>
      </c>
      <c r="D200" s="63">
        <v>2800</v>
      </c>
      <c r="E200" s="65">
        <v>500</v>
      </c>
      <c r="H200" s="8"/>
      <c r="I200" s="3"/>
    </row>
    <row r="201" spans="1:9" ht="30" x14ac:dyDescent="0.25">
      <c r="A201" s="2" t="s">
        <v>204</v>
      </c>
      <c r="B201" s="62">
        <v>25</v>
      </c>
      <c r="C201" s="63">
        <v>1730</v>
      </c>
      <c r="D201" s="63">
        <v>1730</v>
      </c>
      <c r="E201" s="65">
        <v>150</v>
      </c>
      <c r="H201" s="8"/>
      <c r="I201" s="3"/>
    </row>
    <row r="202" spans="1:9" x14ac:dyDescent="0.25">
      <c r="A202" s="2" t="s">
        <v>205</v>
      </c>
      <c r="B202" s="62">
        <v>50</v>
      </c>
      <c r="C202" s="66">
        <v>255</v>
      </c>
      <c r="D202" s="63">
        <v>12750</v>
      </c>
      <c r="E202" s="65">
        <v>400</v>
      </c>
      <c r="H202" s="8"/>
      <c r="I202" s="3"/>
    </row>
    <row r="203" spans="1:9" x14ac:dyDescent="0.25">
      <c r="A203" s="2" t="s">
        <v>206</v>
      </c>
      <c r="B203" s="62">
        <v>15</v>
      </c>
      <c r="C203" s="66">
        <v>290</v>
      </c>
      <c r="D203" s="63">
        <v>4350</v>
      </c>
      <c r="E203" s="65">
        <v>450</v>
      </c>
      <c r="H203" s="8"/>
      <c r="I203" s="3"/>
    </row>
    <row r="204" spans="1:9" x14ac:dyDescent="0.25">
      <c r="A204" s="2" t="s">
        <v>207</v>
      </c>
      <c r="B204" s="62">
        <v>20</v>
      </c>
      <c r="C204" s="66">
        <v>257</v>
      </c>
      <c r="D204" s="63">
        <v>5140</v>
      </c>
      <c r="E204" s="65">
        <v>360</v>
      </c>
      <c r="H204" s="8"/>
      <c r="I204" s="3"/>
    </row>
    <row r="205" spans="1:9" x14ac:dyDescent="0.25">
      <c r="A205" s="2" t="s">
        <v>208</v>
      </c>
      <c r="B205" s="62">
        <v>10</v>
      </c>
      <c r="C205" s="66">
        <v>615</v>
      </c>
      <c r="D205" s="63">
        <v>6150</v>
      </c>
      <c r="E205" s="65">
        <v>860</v>
      </c>
      <c r="H205" s="8"/>
      <c r="I205" s="3"/>
    </row>
    <row r="206" spans="1:9" x14ac:dyDescent="0.25">
      <c r="A206" s="2" t="s">
        <v>209</v>
      </c>
      <c r="B206" s="62">
        <v>100</v>
      </c>
      <c r="C206" s="63">
        <v>12470</v>
      </c>
      <c r="D206" s="63">
        <v>12470</v>
      </c>
      <c r="E206" s="65">
        <v>300</v>
      </c>
      <c r="H206" s="8"/>
      <c r="I206" s="3"/>
    </row>
    <row r="207" spans="1:9" x14ac:dyDescent="0.25">
      <c r="A207" s="2" t="s">
        <v>210</v>
      </c>
      <c r="B207" s="62">
        <v>2</v>
      </c>
      <c r="C207" s="66">
        <v>350</v>
      </c>
      <c r="D207" s="66">
        <v>700</v>
      </c>
      <c r="E207" s="65">
        <v>500</v>
      </c>
      <c r="H207" s="9"/>
      <c r="I207" s="3"/>
    </row>
    <row r="208" spans="1:9" x14ac:dyDescent="0.25">
      <c r="A208" s="2" t="s">
        <v>211</v>
      </c>
      <c r="B208" s="62">
        <v>5</v>
      </c>
      <c r="C208" s="63">
        <v>1250</v>
      </c>
      <c r="D208" s="63">
        <v>6250</v>
      </c>
      <c r="E208" s="64">
        <v>1800</v>
      </c>
      <c r="H208" s="8"/>
      <c r="I208" s="3"/>
    </row>
    <row r="209" spans="1:9" x14ac:dyDescent="0.25">
      <c r="A209" s="2" t="s">
        <v>212</v>
      </c>
      <c r="B209" s="62">
        <v>12</v>
      </c>
      <c r="C209" s="63">
        <v>5450</v>
      </c>
      <c r="D209" s="63">
        <v>5450</v>
      </c>
      <c r="E209" s="65">
        <v>650</v>
      </c>
      <c r="H209" s="8"/>
      <c r="I209" s="3"/>
    </row>
    <row r="210" spans="1:9" x14ac:dyDescent="0.25">
      <c r="A210" s="2" t="s">
        <v>213</v>
      </c>
      <c r="B210" s="62">
        <v>24</v>
      </c>
      <c r="C210" s="63">
        <v>6530</v>
      </c>
      <c r="D210" s="63">
        <v>6530</v>
      </c>
      <c r="E210" s="65">
        <v>400</v>
      </c>
      <c r="H210" s="8"/>
      <c r="I210" s="3"/>
    </row>
    <row r="211" spans="1:9" ht="30" x14ac:dyDescent="0.25">
      <c r="A211" s="2" t="s">
        <v>214</v>
      </c>
      <c r="B211" s="62">
        <v>6</v>
      </c>
      <c r="C211" s="63">
        <v>1460</v>
      </c>
      <c r="D211" s="63">
        <v>1460</v>
      </c>
      <c r="E211" s="65">
        <v>400</v>
      </c>
      <c r="H211" s="9"/>
      <c r="I211" s="3"/>
    </row>
    <row r="212" spans="1:9" ht="30" x14ac:dyDescent="0.25">
      <c r="A212" s="2" t="s">
        <v>215</v>
      </c>
      <c r="B212" s="62">
        <v>30</v>
      </c>
      <c r="C212" s="63">
        <v>1370</v>
      </c>
      <c r="D212" s="63">
        <v>6850</v>
      </c>
      <c r="E212" s="65">
        <v>400</v>
      </c>
      <c r="H212" s="8"/>
      <c r="I212" s="3"/>
    </row>
    <row r="213" spans="1:9" ht="30" x14ac:dyDescent="0.25">
      <c r="A213" s="2" t="s">
        <v>216</v>
      </c>
      <c r="B213" s="62">
        <v>6</v>
      </c>
      <c r="C213" s="63">
        <v>1740</v>
      </c>
      <c r="D213" s="63">
        <v>1740</v>
      </c>
      <c r="E213" s="65">
        <v>450</v>
      </c>
      <c r="H213" s="9"/>
      <c r="I213" s="3"/>
    </row>
    <row r="214" spans="1:9" ht="30" x14ac:dyDescent="0.25">
      <c r="A214" s="2" t="s">
        <v>217</v>
      </c>
      <c r="B214" s="62">
        <v>6</v>
      </c>
      <c r="C214" s="63">
        <v>1560</v>
      </c>
      <c r="D214" s="63">
        <v>1560</v>
      </c>
      <c r="E214" s="65">
        <v>400</v>
      </c>
      <c r="H214" s="9"/>
      <c r="I214" s="3"/>
    </row>
    <row r="215" spans="1:9" ht="30" x14ac:dyDescent="0.25">
      <c r="A215" s="2" t="s">
        <v>218</v>
      </c>
      <c r="B215" s="62">
        <v>12</v>
      </c>
      <c r="C215" s="63">
        <v>2060</v>
      </c>
      <c r="D215" s="63">
        <v>2060</v>
      </c>
      <c r="E215" s="65">
        <v>300</v>
      </c>
      <c r="H215" s="8"/>
      <c r="I215" s="3"/>
    </row>
    <row r="216" spans="1:9" ht="30" x14ac:dyDescent="0.25">
      <c r="A216" s="2" t="s">
        <v>219</v>
      </c>
      <c r="B216" s="62">
        <v>12</v>
      </c>
      <c r="C216" s="63">
        <v>1790</v>
      </c>
      <c r="D216" s="63">
        <v>1790</v>
      </c>
      <c r="E216" s="65">
        <v>250</v>
      </c>
      <c r="H216" s="8"/>
      <c r="I216" s="3"/>
    </row>
    <row r="217" spans="1:9" ht="30" x14ac:dyDescent="0.25">
      <c r="A217" s="2" t="s">
        <v>220</v>
      </c>
      <c r="B217" s="62">
        <v>12</v>
      </c>
      <c r="C217" s="63">
        <v>2360</v>
      </c>
      <c r="D217" s="63">
        <v>2360</v>
      </c>
      <c r="E217" s="65">
        <v>300</v>
      </c>
      <c r="H217" s="8"/>
      <c r="I217" s="3"/>
    </row>
    <row r="218" spans="1:9" ht="30" x14ac:dyDescent="0.25">
      <c r="A218" s="2" t="s">
        <v>221</v>
      </c>
      <c r="B218" s="62">
        <v>12</v>
      </c>
      <c r="C218" s="63">
        <v>1980</v>
      </c>
      <c r="D218" s="63">
        <v>1980</v>
      </c>
      <c r="E218" s="65">
        <v>250</v>
      </c>
      <c r="H218" s="8"/>
      <c r="I218" s="3"/>
    </row>
    <row r="219" spans="1:9" ht="30" x14ac:dyDescent="0.25">
      <c r="A219" s="2" t="s">
        <v>222</v>
      </c>
      <c r="B219" s="62">
        <v>12</v>
      </c>
      <c r="C219" s="63">
        <v>2740</v>
      </c>
      <c r="D219" s="63">
        <v>2740</v>
      </c>
      <c r="E219" s="65">
        <v>350</v>
      </c>
      <c r="H219" s="8"/>
      <c r="I219" s="3"/>
    </row>
    <row r="220" spans="1:9" ht="30" x14ac:dyDescent="0.25">
      <c r="A220" s="2" t="s">
        <v>223</v>
      </c>
      <c r="B220" s="62">
        <v>12</v>
      </c>
      <c r="C220" s="63">
        <v>2450</v>
      </c>
      <c r="D220" s="63">
        <v>2450</v>
      </c>
      <c r="E220" s="65">
        <v>300</v>
      </c>
      <c r="H220" s="8"/>
      <c r="I220" s="3"/>
    </row>
    <row r="221" spans="1:9" x14ac:dyDescent="0.25">
      <c r="A221" s="2" t="s">
        <v>224</v>
      </c>
      <c r="B221" s="62">
        <v>90</v>
      </c>
      <c r="C221" s="63">
        <v>1020</v>
      </c>
      <c r="D221" s="63">
        <v>2040</v>
      </c>
      <c r="E221" s="65">
        <v>50</v>
      </c>
      <c r="H221" s="8"/>
      <c r="I221" s="3"/>
    </row>
    <row r="222" spans="1:9" x14ac:dyDescent="0.25">
      <c r="A222" s="2" t="s">
        <v>225</v>
      </c>
      <c r="B222" s="62">
        <v>10</v>
      </c>
      <c r="C222" s="63">
        <v>1020</v>
      </c>
      <c r="D222" s="63">
        <v>10200</v>
      </c>
      <c r="E222" s="64">
        <v>1450</v>
      </c>
      <c r="H222" s="8"/>
      <c r="I222" s="3"/>
    </row>
    <row r="223" spans="1:9" x14ac:dyDescent="0.25">
      <c r="A223" s="2" t="s">
        <v>226</v>
      </c>
      <c r="B223" s="62">
        <v>5</v>
      </c>
      <c r="C223" s="63">
        <v>1000</v>
      </c>
      <c r="D223" s="63">
        <v>5000</v>
      </c>
      <c r="E223" s="64">
        <v>1400</v>
      </c>
      <c r="H223" s="8"/>
      <c r="I223" s="3"/>
    </row>
    <row r="224" spans="1:9" x14ac:dyDescent="0.25">
      <c r="A224" s="2" t="s">
        <v>227</v>
      </c>
      <c r="B224" s="62">
        <v>6</v>
      </c>
      <c r="C224" s="66">
        <v>974</v>
      </c>
      <c r="D224" s="63">
        <v>5844</v>
      </c>
      <c r="E224" s="64">
        <v>1500</v>
      </c>
      <c r="H224" s="8"/>
      <c r="I224" s="3"/>
    </row>
    <row r="225" spans="1:9" ht="30" x14ac:dyDescent="0.25">
      <c r="A225" s="2" t="s">
        <v>228</v>
      </c>
      <c r="B225" s="62">
        <v>50</v>
      </c>
      <c r="C225" s="63">
        <v>1240</v>
      </c>
      <c r="D225" s="63">
        <v>1240</v>
      </c>
      <c r="E225" s="65">
        <v>50</v>
      </c>
      <c r="H225" s="8"/>
      <c r="I225" s="3"/>
    </row>
    <row r="226" spans="1:9" ht="30" x14ac:dyDescent="0.25">
      <c r="A226" s="2" t="s">
        <v>229</v>
      </c>
      <c r="B226" s="62">
        <v>50</v>
      </c>
      <c r="C226" s="63">
        <v>1290</v>
      </c>
      <c r="D226" s="63">
        <v>1290</v>
      </c>
      <c r="E226" s="65">
        <v>50</v>
      </c>
      <c r="H226" s="8"/>
      <c r="I226" s="3"/>
    </row>
    <row r="227" spans="1:9" x14ac:dyDescent="0.25">
      <c r="A227" s="2" t="s">
        <v>230</v>
      </c>
      <c r="B227" s="62">
        <v>5</v>
      </c>
      <c r="C227" s="66">
        <v>850</v>
      </c>
      <c r="D227" s="63">
        <v>4250</v>
      </c>
      <c r="E227" s="64">
        <v>1200</v>
      </c>
      <c r="H227" s="8"/>
      <c r="I227" s="3"/>
    </row>
    <row r="228" spans="1:9" x14ac:dyDescent="0.25">
      <c r="A228" s="2" t="s">
        <v>231</v>
      </c>
      <c r="B228" s="62">
        <v>12</v>
      </c>
      <c r="C228" s="63">
        <v>3940</v>
      </c>
      <c r="D228" s="63">
        <v>3940</v>
      </c>
      <c r="E228" s="65">
        <v>500</v>
      </c>
      <c r="H228" s="8"/>
      <c r="I228" s="3"/>
    </row>
    <row r="229" spans="1:9" x14ac:dyDescent="0.25">
      <c r="A229" s="2" t="s">
        <v>232</v>
      </c>
      <c r="B229" s="62">
        <v>12</v>
      </c>
      <c r="C229" s="63">
        <v>3940</v>
      </c>
      <c r="D229" s="63">
        <v>3940</v>
      </c>
      <c r="E229" s="65">
        <v>500</v>
      </c>
      <c r="H229" s="8"/>
      <c r="I229" s="3"/>
    </row>
    <row r="230" spans="1:9" x14ac:dyDescent="0.25">
      <c r="A230" s="2" t="s">
        <v>233</v>
      </c>
      <c r="B230" s="62">
        <v>12</v>
      </c>
      <c r="C230" s="63">
        <v>3940</v>
      </c>
      <c r="D230" s="63">
        <v>3940</v>
      </c>
      <c r="E230" s="65">
        <v>500</v>
      </c>
      <c r="H230" s="8"/>
      <c r="I230" s="3"/>
    </row>
    <row r="231" spans="1:9" x14ac:dyDescent="0.25">
      <c r="A231" s="2" t="s">
        <v>234</v>
      </c>
      <c r="B231" s="62">
        <v>12</v>
      </c>
      <c r="C231" s="63">
        <v>3940</v>
      </c>
      <c r="D231" s="63">
        <v>3940</v>
      </c>
      <c r="E231" s="65">
        <v>500</v>
      </c>
      <c r="H231" s="8"/>
      <c r="I231" s="3"/>
    </row>
    <row r="232" spans="1:9" x14ac:dyDescent="0.25">
      <c r="A232" s="2" t="s">
        <v>235</v>
      </c>
      <c r="B232" s="62">
        <v>7</v>
      </c>
      <c r="C232" s="66">
        <v>390</v>
      </c>
      <c r="D232" s="63">
        <v>2730</v>
      </c>
      <c r="E232" s="65">
        <v>600</v>
      </c>
      <c r="H232" s="8"/>
      <c r="I232" s="3"/>
    </row>
    <row r="233" spans="1:9" ht="30" x14ac:dyDescent="0.25">
      <c r="A233" s="2" t="s">
        <v>236</v>
      </c>
      <c r="B233" s="62">
        <v>12</v>
      </c>
      <c r="C233" s="63">
        <v>5460</v>
      </c>
      <c r="D233" s="63">
        <v>5460</v>
      </c>
      <c r="E233" s="65">
        <v>700</v>
      </c>
      <c r="H233" s="8"/>
      <c r="I233" s="3"/>
    </row>
    <row r="234" spans="1:9" ht="30" x14ac:dyDescent="0.25">
      <c r="A234" s="2" t="s">
        <v>237</v>
      </c>
      <c r="B234" s="62">
        <v>12</v>
      </c>
      <c r="C234" s="63">
        <v>9780</v>
      </c>
      <c r="D234" s="63">
        <v>9780</v>
      </c>
      <c r="E234" s="64">
        <v>1200</v>
      </c>
      <c r="H234" s="8"/>
      <c r="I234" s="3"/>
    </row>
    <row r="235" spans="1:9" x14ac:dyDescent="0.25">
      <c r="A235" s="2" t="s">
        <v>238</v>
      </c>
      <c r="B235" s="62">
        <v>20</v>
      </c>
      <c r="C235" s="66">
        <v>115</v>
      </c>
      <c r="D235" s="63">
        <v>2300</v>
      </c>
      <c r="E235" s="65">
        <v>200</v>
      </c>
      <c r="H235" s="8"/>
      <c r="I235" s="3"/>
    </row>
    <row r="236" spans="1:9" x14ac:dyDescent="0.25">
      <c r="A236" s="2" t="s">
        <v>239</v>
      </c>
      <c r="B236" s="62">
        <v>5</v>
      </c>
      <c r="C236" s="66">
        <v>390</v>
      </c>
      <c r="D236" s="63">
        <v>1950</v>
      </c>
      <c r="E236" s="65">
        <v>600</v>
      </c>
      <c r="H236" s="8"/>
      <c r="I236" s="3"/>
    </row>
    <row r="237" spans="1:9" x14ac:dyDescent="0.25">
      <c r="A237" s="2" t="s">
        <v>240</v>
      </c>
      <c r="B237" s="62">
        <v>5</v>
      </c>
      <c r="C237" s="66">
        <v>860</v>
      </c>
      <c r="D237" s="63">
        <v>4300</v>
      </c>
      <c r="E237" s="64">
        <v>1200</v>
      </c>
      <c r="H237" s="8"/>
      <c r="I237" s="3"/>
    </row>
    <row r="238" spans="1:9" x14ac:dyDescent="0.25">
      <c r="A238" s="2" t="s">
        <v>241</v>
      </c>
      <c r="B238" s="62">
        <v>20</v>
      </c>
      <c r="C238" s="66">
        <v>125</v>
      </c>
      <c r="D238" s="63">
        <v>2500</v>
      </c>
      <c r="E238" s="65">
        <v>250</v>
      </c>
      <c r="H238" s="8"/>
      <c r="I238" s="3"/>
    </row>
    <row r="239" spans="1:9" x14ac:dyDescent="0.25">
      <c r="A239" s="2" t="s">
        <v>242</v>
      </c>
      <c r="B239" s="62">
        <v>20</v>
      </c>
      <c r="C239" s="66">
        <v>190</v>
      </c>
      <c r="D239" s="63">
        <v>3800</v>
      </c>
      <c r="E239" s="65">
        <v>300</v>
      </c>
      <c r="H239" s="8"/>
      <c r="I239" s="3"/>
    </row>
    <row r="240" spans="1:9" x14ac:dyDescent="0.25">
      <c r="A240" s="2" t="s">
        <v>243</v>
      </c>
      <c r="B240" s="62">
        <v>4</v>
      </c>
      <c r="C240" s="63">
        <v>3290</v>
      </c>
      <c r="D240" s="63">
        <v>13160</v>
      </c>
      <c r="E240" s="64">
        <v>4700</v>
      </c>
      <c r="H240" s="8"/>
      <c r="I240" s="3"/>
    </row>
    <row r="241" spans="1:9" ht="30" x14ac:dyDescent="0.25">
      <c r="A241" s="2" t="s">
        <v>244</v>
      </c>
      <c r="B241" s="62">
        <v>12</v>
      </c>
      <c r="C241" s="63">
        <v>4010</v>
      </c>
      <c r="D241" s="63">
        <v>4010</v>
      </c>
      <c r="E241" s="65">
        <v>470</v>
      </c>
      <c r="H241" s="8"/>
      <c r="I241" s="3"/>
    </row>
    <row r="242" spans="1:9" x14ac:dyDescent="0.25">
      <c r="A242" s="2" t="s">
        <v>245</v>
      </c>
      <c r="B242" s="62">
        <v>12</v>
      </c>
      <c r="C242" s="63">
        <v>4110</v>
      </c>
      <c r="D242" s="63">
        <v>4110</v>
      </c>
      <c r="E242" s="65">
        <v>550</v>
      </c>
      <c r="H242" s="8"/>
      <c r="I242" s="3"/>
    </row>
    <row r="243" spans="1:9" x14ac:dyDescent="0.25">
      <c r="A243" s="2" t="s">
        <v>246</v>
      </c>
      <c r="B243" s="62">
        <v>5</v>
      </c>
      <c r="C243" s="63">
        <v>1050</v>
      </c>
      <c r="D243" s="63">
        <v>5250</v>
      </c>
      <c r="E243" s="64">
        <v>1700</v>
      </c>
      <c r="H243" s="8"/>
      <c r="I243" s="3"/>
    </row>
    <row r="244" spans="1:9" ht="30" x14ac:dyDescent="0.25">
      <c r="A244" s="2" t="s">
        <v>247</v>
      </c>
      <c r="B244" s="62">
        <v>25</v>
      </c>
      <c r="C244" s="63">
        <v>2810</v>
      </c>
      <c r="D244" s="63">
        <v>2810</v>
      </c>
      <c r="E244" s="65">
        <v>250</v>
      </c>
      <c r="H244" s="8"/>
      <c r="I244" s="3"/>
    </row>
    <row r="245" spans="1:9" ht="30" x14ac:dyDescent="0.25">
      <c r="A245" s="2" t="s">
        <v>248</v>
      </c>
      <c r="B245" s="62">
        <v>75</v>
      </c>
      <c r="C245" s="66">
        <v>930</v>
      </c>
      <c r="D245" s="63">
        <v>2790</v>
      </c>
      <c r="E245" s="65">
        <v>100</v>
      </c>
      <c r="H245" s="8"/>
      <c r="I245" s="3"/>
    </row>
    <row r="246" spans="1:9" ht="30" x14ac:dyDescent="0.25">
      <c r="A246" s="2" t="s">
        <v>249</v>
      </c>
      <c r="B246" s="62">
        <v>75</v>
      </c>
      <c r="C246" s="66">
        <v>670</v>
      </c>
      <c r="D246" s="63">
        <v>2010</v>
      </c>
      <c r="E246" s="65">
        <v>50</v>
      </c>
      <c r="H246" s="8"/>
      <c r="I246" s="3"/>
    </row>
    <row r="247" spans="1:9" x14ac:dyDescent="0.25">
      <c r="A247" s="2" t="s">
        <v>250</v>
      </c>
      <c r="B247" s="62">
        <v>3</v>
      </c>
      <c r="C247" s="63">
        <v>1150</v>
      </c>
      <c r="D247" s="63">
        <v>3450</v>
      </c>
      <c r="E247" s="64">
        <v>2000</v>
      </c>
      <c r="H247" s="8"/>
      <c r="I247" s="3"/>
    </row>
    <row r="248" spans="1:9" x14ac:dyDescent="0.25">
      <c r="A248" s="2" t="s">
        <v>251</v>
      </c>
      <c r="B248" s="62">
        <v>10</v>
      </c>
      <c r="C248" s="63">
        <v>1273</v>
      </c>
      <c r="D248" s="63">
        <v>12730</v>
      </c>
      <c r="E248" s="64">
        <v>1800</v>
      </c>
      <c r="H248" s="8"/>
      <c r="I248" s="3"/>
    </row>
    <row r="249" spans="1:9" x14ac:dyDescent="0.25">
      <c r="A249" s="2" t="s">
        <v>252</v>
      </c>
      <c r="B249" s="62">
        <v>4</v>
      </c>
      <c r="C249" s="63">
        <v>1655</v>
      </c>
      <c r="D249" s="63">
        <v>6620</v>
      </c>
      <c r="E249" s="64">
        <v>2350</v>
      </c>
      <c r="H249" s="8"/>
      <c r="I249" s="3"/>
    </row>
    <row r="250" spans="1:9" x14ac:dyDescent="0.25">
      <c r="A250" s="2" t="s">
        <v>253</v>
      </c>
      <c r="B250" s="62">
        <v>3</v>
      </c>
      <c r="C250" s="63">
        <v>1036</v>
      </c>
      <c r="D250" s="63">
        <v>3108</v>
      </c>
      <c r="E250" s="64">
        <v>1450</v>
      </c>
      <c r="H250" s="8"/>
      <c r="I250" s="3"/>
    </row>
    <row r="251" spans="1:9" x14ac:dyDescent="0.25">
      <c r="A251" s="2" t="s">
        <v>254</v>
      </c>
      <c r="B251" s="62">
        <v>3</v>
      </c>
      <c r="C251" s="63">
        <v>1118</v>
      </c>
      <c r="D251" s="63">
        <v>3354</v>
      </c>
      <c r="E251" s="64">
        <v>1600</v>
      </c>
      <c r="H251" s="8"/>
      <c r="I251" s="3"/>
    </row>
    <row r="252" spans="1:9" x14ac:dyDescent="0.25">
      <c r="A252" s="2" t="s">
        <v>255</v>
      </c>
      <c r="B252" s="62">
        <v>10</v>
      </c>
      <c r="C252" s="66">
        <v>380</v>
      </c>
      <c r="D252" s="63">
        <v>3800</v>
      </c>
      <c r="E252" s="65">
        <v>550</v>
      </c>
      <c r="H252" s="8"/>
      <c r="I252" s="3"/>
    </row>
    <row r="253" spans="1:9" x14ac:dyDescent="0.25">
      <c r="A253" s="2" t="s">
        <v>256</v>
      </c>
      <c r="B253" s="62">
        <v>10</v>
      </c>
      <c r="C253" s="66">
        <v>540</v>
      </c>
      <c r="D253" s="63">
        <v>5400</v>
      </c>
      <c r="E253" s="65">
        <v>800</v>
      </c>
      <c r="H253" s="8"/>
      <c r="I253" s="3"/>
    </row>
    <row r="254" spans="1:9" x14ac:dyDescent="0.25">
      <c r="A254" s="2" t="s">
        <v>257</v>
      </c>
      <c r="B254" s="62">
        <v>10</v>
      </c>
      <c r="C254" s="66">
        <v>610</v>
      </c>
      <c r="D254" s="63">
        <v>6100</v>
      </c>
      <c r="E254" s="65">
        <v>900</v>
      </c>
      <c r="H254" s="8"/>
      <c r="I254" s="3"/>
    </row>
    <row r="255" spans="1:9" x14ac:dyDescent="0.25">
      <c r="A255" s="2" t="s">
        <v>258</v>
      </c>
      <c r="B255" s="62">
        <v>12</v>
      </c>
      <c r="C255" s="63">
        <v>10010</v>
      </c>
      <c r="D255" s="63">
        <v>10010</v>
      </c>
      <c r="E255" s="64">
        <v>1200</v>
      </c>
      <c r="H255" s="8"/>
      <c r="I255" s="3"/>
    </row>
    <row r="256" spans="1:9" x14ac:dyDescent="0.25">
      <c r="A256" s="2" t="s">
        <v>259</v>
      </c>
      <c r="B256" s="62">
        <v>12</v>
      </c>
      <c r="C256" s="63">
        <v>9380</v>
      </c>
      <c r="D256" s="63">
        <v>9380</v>
      </c>
      <c r="E256" s="64">
        <v>1100</v>
      </c>
      <c r="H256" s="8"/>
      <c r="I256" s="3"/>
    </row>
    <row r="257" spans="1:9" x14ac:dyDescent="0.25">
      <c r="A257" s="2" t="s">
        <v>260</v>
      </c>
      <c r="B257" s="62">
        <v>12</v>
      </c>
      <c r="C257" s="63">
        <v>10000</v>
      </c>
      <c r="D257" s="63">
        <v>10000</v>
      </c>
      <c r="E257" s="64">
        <v>1200</v>
      </c>
      <c r="H257" s="8"/>
      <c r="I257" s="3"/>
    </row>
    <row r="258" spans="1:9" x14ac:dyDescent="0.25">
      <c r="A258" s="2" t="s">
        <v>261</v>
      </c>
      <c r="B258" s="62">
        <v>100</v>
      </c>
      <c r="C258" s="63">
        <v>1440</v>
      </c>
      <c r="D258" s="63">
        <v>1440</v>
      </c>
      <c r="E258" s="65">
        <v>100</v>
      </c>
      <c r="H258" s="8"/>
      <c r="I258" s="3"/>
    </row>
    <row r="259" spans="1:9" x14ac:dyDescent="0.25">
      <c r="A259" s="2" t="s">
        <v>262</v>
      </c>
      <c r="B259" s="62">
        <v>12</v>
      </c>
      <c r="C259" s="63">
        <v>2810</v>
      </c>
      <c r="D259" s="63">
        <v>2810</v>
      </c>
      <c r="E259" s="65">
        <v>500</v>
      </c>
      <c r="H259" s="8"/>
      <c r="I259" s="3"/>
    </row>
    <row r="260" spans="1:9" x14ac:dyDescent="0.25">
      <c r="A260" s="2" t="s">
        <v>263</v>
      </c>
      <c r="B260" s="62">
        <v>20</v>
      </c>
      <c r="C260" s="66">
        <v>140</v>
      </c>
      <c r="D260" s="63">
        <v>2800</v>
      </c>
      <c r="E260" s="65">
        <v>250</v>
      </c>
      <c r="H260" s="8"/>
      <c r="I260" s="3"/>
    </row>
    <row r="261" spans="1:9" ht="30" x14ac:dyDescent="0.25">
      <c r="A261" s="4" t="s">
        <v>264</v>
      </c>
      <c r="B261" s="62">
        <v>5</v>
      </c>
      <c r="C261" s="67">
        <v>2290</v>
      </c>
      <c r="D261" s="67">
        <v>11450</v>
      </c>
      <c r="E261" s="73">
        <v>3200</v>
      </c>
      <c r="H261" s="10"/>
      <c r="I261" s="3"/>
    </row>
    <row r="262" spans="1:9" ht="30" x14ac:dyDescent="0.25">
      <c r="A262" s="2" t="s">
        <v>265</v>
      </c>
      <c r="B262" s="62">
        <v>12</v>
      </c>
      <c r="C262" s="68">
        <v>2260</v>
      </c>
      <c r="D262" s="68">
        <v>2260</v>
      </c>
      <c r="E262" s="74">
        <v>270</v>
      </c>
      <c r="H262" s="9"/>
      <c r="I262" s="3"/>
    </row>
    <row r="263" spans="1:9" ht="30" x14ac:dyDescent="0.25">
      <c r="A263" s="2" t="s">
        <v>266</v>
      </c>
      <c r="B263" s="62">
        <v>12</v>
      </c>
      <c r="C263" s="68">
        <v>2550</v>
      </c>
      <c r="D263" s="68">
        <v>2550</v>
      </c>
      <c r="E263" s="74">
        <v>300</v>
      </c>
      <c r="H263" s="8"/>
      <c r="I263" s="3"/>
    </row>
    <row r="264" spans="1:9" x14ac:dyDescent="0.25">
      <c r="A264" s="2" t="s">
        <v>267</v>
      </c>
      <c r="B264" s="62">
        <v>5</v>
      </c>
      <c r="C264" s="68">
        <v>710</v>
      </c>
      <c r="D264" s="68">
        <v>3550</v>
      </c>
      <c r="E264" s="73">
        <v>1000</v>
      </c>
      <c r="H264" s="8"/>
      <c r="I264" s="3"/>
    </row>
    <row r="265" spans="1:9" ht="30" x14ac:dyDescent="0.25">
      <c r="A265" s="2" t="s">
        <v>268</v>
      </c>
      <c r="B265" s="62">
        <v>10</v>
      </c>
      <c r="C265" s="68">
        <v>520</v>
      </c>
      <c r="D265" s="68">
        <v>5200</v>
      </c>
      <c r="E265" s="74">
        <v>750</v>
      </c>
      <c r="H265" s="8"/>
      <c r="I265" s="3"/>
    </row>
    <row r="266" spans="1:9" ht="30" x14ac:dyDescent="0.25">
      <c r="A266" s="2" t="s">
        <v>269</v>
      </c>
      <c r="B266" s="62">
        <v>12</v>
      </c>
      <c r="C266" s="68">
        <v>2000</v>
      </c>
      <c r="D266" s="68">
        <v>2000</v>
      </c>
      <c r="E266" s="74">
        <v>250</v>
      </c>
      <c r="H266" s="8"/>
      <c r="I266" s="3"/>
    </row>
    <row r="267" spans="1:9" ht="30" x14ac:dyDescent="0.25">
      <c r="A267" s="2" t="s">
        <v>270</v>
      </c>
      <c r="B267" s="62">
        <v>3</v>
      </c>
      <c r="C267" s="68">
        <v>860</v>
      </c>
      <c r="D267" s="68">
        <v>2580</v>
      </c>
      <c r="E267" s="73">
        <v>1200</v>
      </c>
      <c r="H267" s="8"/>
      <c r="I267" s="3"/>
    </row>
    <row r="268" spans="1:9" ht="30" x14ac:dyDescent="0.25">
      <c r="A268" s="2" t="s">
        <v>271</v>
      </c>
      <c r="B268" s="62">
        <v>3</v>
      </c>
      <c r="C268" s="68">
        <v>860</v>
      </c>
      <c r="D268" s="68">
        <v>2580</v>
      </c>
      <c r="E268" s="73">
        <v>1200</v>
      </c>
      <c r="H268" s="8"/>
      <c r="I268" s="3"/>
    </row>
    <row r="269" spans="1:9" ht="30" x14ac:dyDescent="0.25">
      <c r="A269" s="2" t="s">
        <v>272</v>
      </c>
      <c r="B269" s="62">
        <v>3</v>
      </c>
      <c r="C269" s="68">
        <v>860</v>
      </c>
      <c r="D269" s="68">
        <v>2580</v>
      </c>
      <c r="E269" s="73">
        <v>1200</v>
      </c>
      <c r="H269" s="8"/>
      <c r="I269" s="3"/>
    </row>
    <row r="270" spans="1:9" ht="30" x14ac:dyDescent="0.25">
      <c r="A270" s="2" t="s">
        <v>273</v>
      </c>
      <c r="B270" s="62">
        <v>3</v>
      </c>
      <c r="C270" s="68">
        <v>860</v>
      </c>
      <c r="D270" s="68">
        <v>2580</v>
      </c>
      <c r="E270" s="73">
        <v>1200</v>
      </c>
      <c r="H270" s="8"/>
      <c r="I270" s="3"/>
    </row>
    <row r="271" spans="1:9" ht="30" x14ac:dyDescent="0.25">
      <c r="A271" s="2" t="s">
        <v>274</v>
      </c>
      <c r="B271" s="62">
        <v>3</v>
      </c>
      <c r="C271" s="68">
        <v>450</v>
      </c>
      <c r="D271" s="68">
        <v>1350</v>
      </c>
      <c r="E271" s="74">
        <v>700</v>
      </c>
      <c r="H271" s="9"/>
      <c r="I271" s="3"/>
    </row>
    <row r="272" spans="1:9" ht="30" x14ac:dyDescent="0.25">
      <c r="A272" s="2" t="s">
        <v>275</v>
      </c>
      <c r="B272" s="62">
        <v>3</v>
      </c>
      <c r="C272" s="68">
        <v>680</v>
      </c>
      <c r="D272" s="68">
        <v>2040</v>
      </c>
      <c r="E272" s="73">
        <v>1000</v>
      </c>
      <c r="H272" s="9"/>
      <c r="I272" s="3"/>
    </row>
    <row r="273" spans="1:9" ht="30" x14ac:dyDescent="0.25">
      <c r="A273" s="2" t="s">
        <v>276</v>
      </c>
      <c r="B273" s="62">
        <v>3</v>
      </c>
      <c r="C273" s="68">
        <v>860</v>
      </c>
      <c r="D273" s="68">
        <v>2580</v>
      </c>
      <c r="E273" s="73">
        <v>1200</v>
      </c>
      <c r="H273" s="8"/>
      <c r="I273" s="3"/>
    </row>
    <row r="274" spans="1:9" x14ac:dyDescent="0.25">
      <c r="A274" s="2" t="s">
        <v>277</v>
      </c>
      <c r="B274" s="62">
        <v>2</v>
      </c>
      <c r="C274" s="68">
        <v>2600</v>
      </c>
      <c r="D274" s="68">
        <v>5200</v>
      </c>
      <c r="E274" s="73">
        <v>3700</v>
      </c>
      <c r="H274" s="8"/>
      <c r="I274" s="3"/>
    </row>
    <row r="275" spans="1:9" ht="30" x14ac:dyDescent="0.25">
      <c r="A275" s="2" t="s">
        <v>125</v>
      </c>
      <c r="B275" s="62">
        <v>100</v>
      </c>
      <c r="C275" s="68">
        <v>2510</v>
      </c>
      <c r="D275" s="68">
        <v>2510</v>
      </c>
      <c r="E275" s="74">
        <v>50</v>
      </c>
      <c r="H275" s="8"/>
      <c r="I275" s="3"/>
    </row>
    <row r="276" spans="1:9" x14ac:dyDescent="0.25">
      <c r="A276" s="2" t="s">
        <v>124</v>
      </c>
      <c r="B276" s="62">
        <v>100</v>
      </c>
      <c r="C276" s="68">
        <v>2670</v>
      </c>
      <c r="D276" s="68">
        <v>2670</v>
      </c>
      <c r="E276" s="74">
        <v>50</v>
      </c>
      <c r="H276" s="8"/>
      <c r="I276" s="3"/>
    </row>
    <row r="277" spans="1:9" ht="30" x14ac:dyDescent="0.25">
      <c r="A277" s="2" t="s">
        <v>278</v>
      </c>
      <c r="B277" s="62">
        <v>3</v>
      </c>
      <c r="C277" s="68">
        <v>2440</v>
      </c>
      <c r="D277" s="68">
        <v>7320</v>
      </c>
      <c r="E277" s="73">
        <v>3500</v>
      </c>
      <c r="H277" s="8"/>
      <c r="I277" s="3"/>
    </row>
    <row r="278" spans="1:9" x14ac:dyDescent="0.25">
      <c r="A278" s="2" t="s">
        <v>279</v>
      </c>
      <c r="B278" s="62">
        <v>100</v>
      </c>
      <c r="C278" s="68">
        <v>10100</v>
      </c>
      <c r="D278" s="68">
        <v>10100</v>
      </c>
      <c r="E278" s="74">
        <v>150</v>
      </c>
      <c r="H278" s="8"/>
      <c r="I278" s="3"/>
    </row>
    <row r="279" spans="1:9" ht="30" x14ac:dyDescent="0.25">
      <c r="A279" s="2" t="s">
        <v>280</v>
      </c>
      <c r="B279" s="62">
        <v>10</v>
      </c>
      <c r="C279" s="68">
        <v>4980</v>
      </c>
      <c r="D279" s="68">
        <v>4980</v>
      </c>
      <c r="E279" s="74">
        <v>700</v>
      </c>
      <c r="H279" s="8"/>
      <c r="I279" s="3"/>
    </row>
    <row r="280" spans="1:9" x14ac:dyDescent="0.25">
      <c r="A280" s="2" t="s">
        <v>281</v>
      </c>
      <c r="B280" s="62">
        <v>5</v>
      </c>
      <c r="C280" s="68">
        <v>495</v>
      </c>
      <c r="D280" s="68">
        <v>2475</v>
      </c>
      <c r="E280" s="74">
        <v>700</v>
      </c>
      <c r="H280" s="8"/>
      <c r="I280" s="3"/>
    </row>
    <row r="281" spans="1:9" ht="30" x14ac:dyDescent="0.25">
      <c r="A281" s="2" t="s">
        <v>282</v>
      </c>
      <c r="B281" s="62">
        <v>12</v>
      </c>
      <c r="C281" s="68">
        <v>9540</v>
      </c>
      <c r="D281" s="68">
        <v>9540</v>
      </c>
      <c r="E281" s="73">
        <v>1120</v>
      </c>
      <c r="H281" s="8"/>
      <c r="I281" s="3"/>
    </row>
    <row r="282" spans="1:9" x14ac:dyDescent="0.25">
      <c r="A282" s="2" t="s">
        <v>283</v>
      </c>
      <c r="B282" s="62">
        <v>20</v>
      </c>
      <c r="C282" s="68">
        <v>280</v>
      </c>
      <c r="D282" s="68">
        <v>5600</v>
      </c>
      <c r="E282" s="74">
        <v>400</v>
      </c>
      <c r="H282" s="8"/>
      <c r="I282" s="3"/>
    </row>
    <row r="283" spans="1:9" x14ac:dyDescent="0.25">
      <c r="A283" s="2" t="s">
        <v>284</v>
      </c>
      <c r="B283" s="62">
        <v>20</v>
      </c>
      <c r="C283" s="68">
        <v>280</v>
      </c>
      <c r="D283" s="68">
        <v>5600</v>
      </c>
      <c r="E283" s="74">
        <v>400</v>
      </c>
      <c r="H283" s="8"/>
      <c r="I283" s="3"/>
    </row>
    <row r="284" spans="1:9" x14ac:dyDescent="0.25">
      <c r="A284" s="2" t="s">
        <v>285</v>
      </c>
      <c r="B284" s="62">
        <v>10</v>
      </c>
      <c r="C284" s="68">
        <v>300</v>
      </c>
      <c r="D284" s="68">
        <v>3000</v>
      </c>
      <c r="E284" s="74">
        <v>450</v>
      </c>
      <c r="H284" s="8"/>
      <c r="I284" s="3"/>
    </row>
    <row r="285" spans="1:9" x14ac:dyDescent="0.25">
      <c r="A285" s="2" t="s">
        <v>286</v>
      </c>
      <c r="B285" s="62">
        <v>10</v>
      </c>
      <c r="C285" s="68">
        <v>230</v>
      </c>
      <c r="D285" s="68">
        <v>2300</v>
      </c>
      <c r="E285" s="74">
        <v>350</v>
      </c>
      <c r="H285" s="8"/>
      <c r="I285" s="3"/>
    </row>
    <row r="286" spans="1:9" x14ac:dyDescent="0.25">
      <c r="A286" s="2" t="s">
        <v>287</v>
      </c>
      <c r="B286" s="62">
        <v>10</v>
      </c>
      <c r="C286" s="68">
        <v>590</v>
      </c>
      <c r="D286" s="68">
        <v>5900</v>
      </c>
      <c r="E286" s="74">
        <v>850</v>
      </c>
      <c r="H286" s="8"/>
      <c r="I286" s="3"/>
    </row>
    <row r="287" spans="1:9" x14ac:dyDescent="0.25">
      <c r="A287" s="2" t="s">
        <v>288</v>
      </c>
      <c r="B287" s="62">
        <v>5</v>
      </c>
      <c r="C287" s="68">
        <v>1550</v>
      </c>
      <c r="D287" s="68">
        <v>7750</v>
      </c>
      <c r="E287" s="73">
        <v>2200</v>
      </c>
      <c r="H287" s="8"/>
      <c r="I287" s="3"/>
    </row>
    <row r="288" spans="1:9" ht="30" x14ac:dyDescent="0.25">
      <c r="A288" s="2" t="s">
        <v>289</v>
      </c>
      <c r="B288" s="62">
        <v>4</v>
      </c>
      <c r="C288" s="68">
        <v>870</v>
      </c>
      <c r="D288" s="68">
        <v>3480</v>
      </c>
      <c r="E288" s="73">
        <v>1250</v>
      </c>
      <c r="H288" s="8"/>
      <c r="I288" s="3"/>
    </row>
    <row r="289" spans="1:9" ht="30" x14ac:dyDescent="0.25">
      <c r="A289" s="2" t="s">
        <v>290</v>
      </c>
      <c r="B289" s="62">
        <v>10</v>
      </c>
      <c r="C289" s="68">
        <v>4980</v>
      </c>
      <c r="D289" s="68">
        <v>4980</v>
      </c>
      <c r="E289" s="74">
        <v>700</v>
      </c>
      <c r="H289" s="8"/>
      <c r="I289" s="3"/>
    </row>
    <row r="290" spans="1:9" x14ac:dyDescent="0.25">
      <c r="A290" s="2" t="s">
        <v>291</v>
      </c>
      <c r="B290" s="62">
        <v>4</v>
      </c>
      <c r="C290" s="68">
        <v>2290</v>
      </c>
      <c r="D290" s="68">
        <v>9160</v>
      </c>
      <c r="E290" s="73">
        <v>3200</v>
      </c>
      <c r="H290" s="8"/>
      <c r="I290" s="3"/>
    </row>
    <row r="291" spans="1:9" x14ac:dyDescent="0.25">
      <c r="A291" s="2" t="s">
        <v>5</v>
      </c>
      <c r="B291" s="62">
        <v>5</v>
      </c>
      <c r="C291" s="68">
        <v>1860</v>
      </c>
      <c r="D291" s="68">
        <v>9300</v>
      </c>
      <c r="E291" s="73">
        <v>2600</v>
      </c>
      <c r="H291" s="8"/>
      <c r="I291" s="3"/>
    </row>
    <row r="292" spans="1:9" ht="30" x14ac:dyDescent="0.25">
      <c r="A292" s="2" t="s">
        <v>292</v>
      </c>
      <c r="B292" s="62">
        <v>5</v>
      </c>
      <c r="C292" s="68">
        <v>2500</v>
      </c>
      <c r="D292" s="68">
        <v>12500</v>
      </c>
      <c r="E292" s="73">
        <v>3500</v>
      </c>
      <c r="H292" s="8"/>
      <c r="I292" s="3"/>
    </row>
    <row r="293" spans="1:9" x14ac:dyDescent="0.25">
      <c r="A293" s="2" t="s">
        <v>293</v>
      </c>
      <c r="B293" s="62">
        <v>6</v>
      </c>
      <c r="C293" s="68">
        <v>1700</v>
      </c>
      <c r="D293" s="68">
        <v>10200</v>
      </c>
      <c r="E293" s="73">
        <v>2400</v>
      </c>
      <c r="H293" s="8"/>
      <c r="I293" s="3"/>
    </row>
    <row r="294" spans="1:9" ht="30" x14ac:dyDescent="0.25">
      <c r="A294" s="2" t="s">
        <v>294</v>
      </c>
      <c r="B294" s="62">
        <v>6</v>
      </c>
      <c r="C294" s="68">
        <v>1310</v>
      </c>
      <c r="D294" s="68">
        <v>1310</v>
      </c>
      <c r="E294" s="74">
        <v>300</v>
      </c>
      <c r="H294" s="9"/>
      <c r="I294" s="3"/>
    </row>
    <row r="295" spans="1:9" x14ac:dyDescent="0.25">
      <c r="A295" s="2" t="s">
        <v>295</v>
      </c>
      <c r="B295" s="62">
        <v>12</v>
      </c>
      <c r="C295" s="68">
        <v>9380</v>
      </c>
      <c r="D295" s="68">
        <v>9380</v>
      </c>
      <c r="E295" s="73">
        <v>1100</v>
      </c>
      <c r="H295" s="8"/>
      <c r="I295" s="3"/>
    </row>
    <row r="296" spans="1:9" x14ac:dyDescent="0.25">
      <c r="A296" s="2" t="s">
        <v>245</v>
      </c>
      <c r="B296" s="62">
        <v>12</v>
      </c>
      <c r="C296" s="68">
        <v>4110</v>
      </c>
      <c r="D296" s="68">
        <v>4110</v>
      </c>
      <c r="E296" s="74">
        <v>500</v>
      </c>
      <c r="H296" s="8"/>
      <c r="I296" s="3"/>
    </row>
    <row r="297" spans="1:9" ht="30" x14ac:dyDescent="0.25">
      <c r="A297" s="2" t="s">
        <v>296</v>
      </c>
      <c r="B297" s="62">
        <v>20</v>
      </c>
      <c r="C297" s="68">
        <v>4980</v>
      </c>
      <c r="D297" s="68">
        <v>9960</v>
      </c>
      <c r="E297" s="74">
        <v>700</v>
      </c>
      <c r="H297" s="8"/>
      <c r="I297" s="3"/>
    </row>
    <row r="298" spans="1:9" ht="30" x14ac:dyDescent="0.25">
      <c r="A298" s="2" t="s">
        <v>297</v>
      </c>
      <c r="B298" s="62">
        <v>10</v>
      </c>
      <c r="C298" s="68">
        <v>11000</v>
      </c>
      <c r="D298" s="68">
        <v>11000</v>
      </c>
      <c r="E298" s="73">
        <v>1600</v>
      </c>
      <c r="H298" s="8"/>
      <c r="I298" s="3"/>
    </row>
    <row r="299" spans="1:9" ht="30" x14ac:dyDescent="0.25">
      <c r="A299" s="2" t="s">
        <v>298</v>
      </c>
      <c r="B299" s="62">
        <v>3</v>
      </c>
      <c r="C299" s="68">
        <v>2900</v>
      </c>
      <c r="D299" s="68">
        <v>8700</v>
      </c>
      <c r="E299" s="73">
        <v>4100</v>
      </c>
      <c r="H299" s="8"/>
      <c r="I299" s="3"/>
    </row>
    <row r="300" spans="1:9" ht="30" x14ac:dyDescent="0.25">
      <c r="A300" s="5" t="s">
        <v>299</v>
      </c>
      <c r="B300" s="69">
        <v>12</v>
      </c>
      <c r="C300" s="70">
        <v>5450</v>
      </c>
      <c r="D300" s="70">
        <v>5450</v>
      </c>
      <c r="E300" s="75">
        <v>650</v>
      </c>
      <c r="H300" s="8"/>
      <c r="I300" s="3"/>
    </row>
    <row r="301" spans="1:9" ht="30" x14ac:dyDescent="0.25">
      <c r="A301" s="2" t="s">
        <v>300</v>
      </c>
      <c r="B301" s="62">
        <v>5</v>
      </c>
      <c r="C301" s="68">
        <v>1200</v>
      </c>
      <c r="D301" s="68">
        <v>6000</v>
      </c>
      <c r="E301" s="73">
        <v>1700</v>
      </c>
      <c r="H301" s="8"/>
      <c r="I301" s="3"/>
    </row>
    <row r="302" spans="1:9" x14ac:dyDescent="0.25">
      <c r="A302" s="2" t="s">
        <v>301</v>
      </c>
      <c r="B302" s="62">
        <v>6</v>
      </c>
      <c r="C302" s="68">
        <v>1400</v>
      </c>
      <c r="D302" s="68">
        <v>8400</v>
      </c>
      <c r="E302" s="73">
        <v>2000</v>
      </c>
      <c r="H302" s="8"/>
      <c r="I302" s="3"/>
    </row>
    <row r="303" spans="1:9" ht="30" x14ac:dyDescent="0.25">
      <c r="A303" s="2" t="s">
        <v>299</v>
      </c>
      <c r="B303" s="62">
        <v>24</v>
      </c>
      <c r="C303" s="68">
        <v>5450</v>
      </c>
      <c r="D303" s="68">
        <v>10900</v>
      </c>
      <c r="E303" s="74">
        <v>650</v>
      </c>
      <c r="H303" s="8"/>
      <c r="I303" s="3"/>
    </row>
    <row r="304" spans="1:9" x14ac:dyDescent="0.25">
      <c r="A304" s="2" t="s">
        <v>256</v>
      </c>
      <c r="B304" s="62">
        <v>10</v>
      </c>
      <c r="C304" s="68">
        <v>540</v>
      </c>
      <c r="D304" s="68">
        <v>5400</v>
      </c>
      <c r="E304" s="74">
        <v>750</v>
      </c>
      <c r="H304" s="8"/>
      <c r="I304" s="3"/>
    </row>
    <row r="305" spans="1:9" x14ac:dyDescent="0.25">
      <c r="A305" s="2" t="s">
        <v>302</v>
      </c>
      <c r="B305" s="62">
        <v>6</v>
      </c>
      <c r="C305" s="68">
        <v>970</v>
      </c>
      <c r="D305" s="68">
        <v>5820</v>
      </c>
      <c r="E305" s="73">
        <v>1400</v>
      </c>
      <c r="H305" s="8"/>
      <c r="I305" s="3"/>
    </row>
    <row r="306" spans="1:9" ht="30" x14ac:dyDescent="0.25">
      <c r="A306" s="2" t="s">
        <v>294</v>
      </c>
      <c r="B306" s="62">
        <v>24</v>
      </c>
      <c r="C306" s="68">
        <v>1310</v>
      </c>
      <c r="D306" s="68">
        <v>5240</v>
      </c>
      <c r="E306" s="74">
        <v>350</v>
      </c>
      <c r="H306" s="8"/>
      <c r="I306" s="3"/>
    </row>
    <row r="307" spans="1:9" x14ac:dyDescent="0.25">
      <c r="A307" s="2" t="s">
        <v>303</v>
      </c>
      <c r="B307" s="62">
        <v>15</v>
      </c>
      <c r="C307" s="68">
        <v>1000</v>
      </c>
      <c r="D307" s="68">
        <v>15000</v>
      </c>
      <c r="E307" s="73">
        <v>1400</v>
      </c>
      <c r="H307" s="8"/>
      <c r="I307" s="3"/>
    </row>
    <row r="308" spans="1:9" x14ac:dyDescent="0.25">
      <c r="A308" s="2" t="s">
        <v>304</v>
      </c>
      <c r="B308" s="62">
        <v>3</v>
      </c>
      <c r="C308" s="68">
        <v>1130</v>
      </c>
      <c r="D308" s="68">
        <v>3390</v>
      </c>
      <c r="E308" s="73">
        <v>1600</v>
      </c>
      <c r="H308" s="8"/>
      <c r="I308" s="3"/>
    </row>
    <row r="309" spans="1:9" ht="30" x14ac:dyDescent="0.25">
      <c r="A309" s="2" t="s">
        <v>305</v>
      </c>
      <c r="B309" s="62">
        <v>2</v>
      </c>
      <c r="C309" s="68">
        <v>2600</v>
      </c>
      <c r="D309" s="68">
        <v>5200</v>
      </c>
      <c r="E309" s="73">
        <v>3650</v>
      </c>
      <c r="H309" s="8"/>
      <c r="I309" s="3"/>
    </row>
    <row r="310" spans="1:9" ht="30" x14ac:dyDescent="0.25">
      <c r="A310" s="2" t="s">
        <v>306</v>
      </c>
      <c r="B310" s="62">
        <v>10</v>
      </c>
      <c r="C310" s="68">
        <v>11000</v>
      </c>
      <c r="D310" s="68">
        <v>11000</v>
      </c>
      <c r="E310" s="73">
        <v>1600</v>
      </c>
      <c r="H310" s="8"/>
      <c r="I310" s="3"/>
    </row>
    <row r="311" spans="1:9" ht="30" x14ac:dyDescent="0.25">
      <c r="A311" s="2" t="s">
        <v>297</v>
      </c>
      <c r="B311" s="62">
        <v>30</v>
      </c>
      <c r="C311" s="68">
        <v>11000</v>
      </c>
      <c r="D311" s="68">
        <v>33000</v>
      </c>
      <c r="E311" s="73">
        <v>1600</v>
      </c>
      <c r="H311" s="8"/>
      <c r="I311" s="3"/>
    </row>
    <row r="312" spans="1:9" ht="30" x14ac:dyDescent="0.25">
      <c r="A312" s="2" t="s">
        <v>307</v>
      </c>
      <c r="B312" s="62">
        <v>10</v>
      </c>
      <c r="C312" s="68">
        <v>11000</v>
      </c>
      <c r="D312" s="68">
        <v>11000</v>
      </c>
      <c r="E312" s="73">
        <v>1600</v>
      </c>
      <c r="H312" s="8"/>
      <c r="I312" s="3"/>
    </row>
    <row r="313" spans="1:9" ht="30" x14ac:dyDescent="0.25">
      <c r="A313" s="2" t="s">
        <v>308</v>
      </c>
      <c r="B313" s="62">
        <v>3</v>
      </c>
      <c r="C313" s="68">
        <v>860</v>
      </c>
      <c r="D313" s="68">
        <v>2580</v>
      </c>
      <c r="E313" s="73">
        <v>1200</v>
      </c>
      <c r="H313" s="8"/>
      <c r="I313" s="3"/>
    </row>
    <row r="314" spans="1:9" ht="30" x14ac:dyDescent="0.25">
      <c r="A314" s="2" t="s">
        <v>309</v>
      </c>
      <c r="B314" s="62">
        <v>5</v>
      </c>
      <c r="C314" s="68">
        <v>1080</v>
      </c>
      <c r="D314" s="68">
        <v>5400</v>
      </c>
      <c r="E314" s="73">
        <v>1550</v>
      </c>
      <c r="H314" s="8"/>
      <c r="I314" s="3"/>
    </row>
    <row r="315" spans="1:9" x14ac:dyDescent="0.25">
      <c r="A315" s="4" t="s">
        <v>310</v>
      </c>
      <c r="B315" s="62">
        <v>5</v>
      </c>
      <c r="C315" s="71">
        <v>380</v>
      </c>
      <c r="D315" s="71">
        <v>1900</v>
      </c>
      <c r="E315" s="74">
        <v>550</v>
      </c>
      <c r="H315" s="11"/>
      <c r="I315" s="3"/>
    </row>
    <row r="316" spans="1:9" x14ac:dyDescent="0.25">
      <c r="A316" s="2" t="s">
        <v>311</v>
      </c>
      <c r="B316" s="61"/>
      <c r="C316" s="6"/>
      <c r="D316" s="68">
        <v>14500</v>
      </c>
      <c r="E316" s="76"/>
      <c r="H316" s="8"/>
      <c r="I316" s="3"/>
    </row>
    <row r="317" spans="1:9" x14ac:dyDescent="0.25">
      <c r="A317" s="2" t="s">
        <v>312</v>
      </c>
      <c r="B317" s="62">
        <v>30</v>
      </c>
      <c r="C317" s="68">
        <v>990</v>
      </c>
      <c r="D317" s="68">
        <v>29700</v>
      </c>
      <c r="E317" s="73">
        <v>1500</v>
      </c>
      <c r="H317" s="8"/>
      <c r="I317" s="3"/>
    </row>
    <row r="318" spans="1:9" x14ac:dyDescent="0.25">
      <c r="A318" s="2" t="s">
        <v>313</v>
      </c>
      <c r="B318" s="62">
        <v>10</v>
      </c>
      <c r="C318" s="68">
        <v>779</v>
      </c>
      <c r="D318" s="68">
        <v>7790</v>
      </c>
      <c r="E318" s="73">
        <v>1100</v>
      </c>
      <c r="H318" s="8"/>
      <c r="I318" s="3"/>
    </row>
    <row r="319" spans="1:9" x14ac:dyDescent="0.25">
      <c r="A319" s="2" t="s">
        <v>314</v>
      </c>
      <c r="B319" s="62">
        <v>10</v>
      </c>
      <c r="C319" s="68">
        <v>1036</v>
      </c>
      <c r="D319" s="68">
        <v>10360</v>
      </c>
      <c r="E319" s="73">
        <v>1500</v>
      </c>
      <c r="H319" s="8"/>
      <c r="I319" s="3"/>
    </row>
    <row r="320" spans="1:9" x14ac:dyDescent="0.25">
      <c r="A320" s="2" t="s">
        <v>315</v>
      </c>
      <c r="B320" s="62">
        <v>6</v>
      </c>
      <c r="C320" s="68">
        <v>1250</v>
      </c>
      <c r="D320" s="68">
        <v>7500</v>
      </c>
      <c r="E320" s="73">
        <v>1800</v>
      </c>
      <c r="H320" s="8"/>
      <c r="I320" s="3"/>
    </row>
    <row r="321" spans="1:9" x14ac:dyDescent="0.25">
      <c r="A321" s="2" t="s">
        <v>316</v>
      </c>
      <c r="B321" s="62">
        <v>3</v>
      </c>
      <c r="C321" s="68">
        <v>1355</v>
      </c>
      <c r="D321" s="68">
        <v>4065</v>
      </c>
      <c r="E321" s="73">
        <v>1900</v>
      </c>
      <c r="H321" s="8"/>
      <c r="I321" s="3"/>
    </row>
    <row r="322" spans="1:9" x14ac:dyDescent="0.25">
      <c r="A322" s="2" t="s">
        <v>317</v>
      </c>
      <c r="B322" s="62">
        <v>8</v>
      </c>
      <c r="C322" s="68">
        <v>702</v>
      </c>
      <c r="D322" s="68">
        <v>5616</v>
      </c>
      <c r="E322" s="73">
        <v>1000</v>
      </c>
      <c r="H322" s="8"/>
      <c r="I322" s="3"/>
    </row>
    <row r="323" spans="1:9" x14ac:dyDescent="0.25">
      <c r="A323" s="2" t="s">
        <v>318</v>
      </c>
      <c r="B323" s="62">
        <v>5</v>
      </c>
      <c r="C323" s="68">
        <v>1195</v>
      </c>
      <c r="D323" s="68">
        <v>5975</v>
      </c>
      <c r="E323" s="73">
        <v>1700</v>
      </c>
      <c r="H323" s="8"/>
      <c r="I323" s="3"/>
    </row>
    <row r="324" spans="1:9" x14ac:dyDescent="0.25">
      <c r="A324" s="2" t="s">
        <v>319</v>
      </c>
      <c r="B324" s="62">
        <v>8</v>
      </c>
      <c r="C324" s="68">
        <v>711</v>
      </c>
      <c r="D324" s="68">
        <v>5689</v>
      </c>
      <c r="E324" s="73">
        <v>1000</v>
      </c>
      <c r="H324" s="8"/>
      <c r="I324" s="3"/>
    </row>
    <row r="325" spans="1:9" x14ac:dyDescent="0.25">
      <c r="A325" s="2" t="s">
        <v>320</v>
      </c>
      <c r="B325" s="62">
        <v>42</v>
      </c>
      <c r="C325" s="68">
        <v>490</v>
      </c>
      <c r="D325" s="68">
        <v>20580</v>
      </c>
      <c r="E325" s="74">
        <v>700</v>
      </c>
      <c r="H325" s="8"/>
      <c r="I325" s="3"/>
    </row>
    <row r="326" spans="1:9" x14ac:dyDescent="0.25">
      <c r="A326" s="2" t="s">
        <v>321</v>
      </c>
      <c r="B326" s="62">
        <v>5</v>
      </c>
      <c r="C326" s="68">
        <v>590</v>
      </c>
      <c r="D326" s="68">
        <v>2950</v>
      </c>
      <c r="E326" s="74">
        <v>850</v>
      </c>
      <c r="H326" s="8"/>
      <c r="I326" s="3"/>
    </row>
    <row r="327" spans="1:9" x14ac:dyDescent="0.25">
      <c r="A327" s="2" t="s">
        <v>322</v>
      </c>
      <c r="B327" s="62">
        <v>25</v>
      </c>
      <c r="C327" s="68">
        <v>296</v>
      </c>
      <c r="D327" s="68">
        <v>7400</v>
      </c>
      <c r="E327" s="74">
        <v>450</v>
      </c>
      <c r="H327" s="8"/>
      <c r="I327" s="3"/>
    </row>
    <row r="328" spans="1:9" x14ac:dyDescent="0.25">
      <c r="A328" s="2" t="s">
        <v>323</v>
      </c>
      <c r="B328" s="62">
        <v>8</v>
      </c>
      <c r="C328" s="68">
        <v>326</v>
      </c>
      <c r="D328" s="68">
        <v>2608</v>
      </c>
      <c r="E328" s="74">
        <v>460</v>
      </c>
      <c r="H328" s="8"/>
      <c r="I328" s="3"/>
    </row>
    <row r="329" spans="1:9" x14ac:dyDescent="0.25">
      <c r="A329" s="2" t="s">
        <v>324</v>
      </c>
      <c r="B329" s="62">
        <v>15</v>
      </c>
      <c r="C329" s="68">
        <v>284</v>
      </c>
      <c r="D329" s="68">
        <v>4260</v>
      </c>
      <c r="E329" s="74">
        <v>400</v>
      </c>
      <c r="H329" s="8"/>
      <c r="I329" s="3"/>
    </row>
    <row r="330" spans="1:9" x14ac:dyDescent="0.25">
      <c r="A330" s="2" t="s">
        <v>325</v>
      </c>
      <c r="B330" s="62">
        <v>15</v>
      </c>
      <c r="C330" s="68">
        <v>171</v>
      </c>
      <c r="D330" s="68">
        <v>2565</v>
      </c>
      <c r="E330" s="74">
        <v>300</v>
      </c>
      <c r="H330" s="8"/>
      <c r="I330" s="3"/>
    </row>
    <row r="331" spans="1:9" x14ac:dyDescent="0.25">
      <c r="A331" s="2" t="s">
        <v>326</v>
      </c>
      <c r="B331" s="62">
        <v>92</v>
      </c>
      <c r="C331" s="68">
        <v>549</v>
      </c>
      <c r="D331" s="68">
        <v>50508</v>
      </c>
      <c r="E331" s="74">
        <v>800</v>
      </c>
      <c r="H331" s="8"/>
      <c r="I331" s="3"/>
    </row>
    <row r="332" spans="1:9" x14ac:dyDescent="0.25">
      <c r="A332" s="2" t="s">
        <v>327</v>
      </c>
      <c r="B332" s="62">
        <v>92</v>
      </c>
      <c r="C332" s="68">
        <v>499</v>
      </c>
      <c r="D332" s="68">
        <v>45908</v>
      </c>
      <c r="E332" s="74">
        <v>700</v>
      </c>
      <c r="H332" s="8"/>
      <c r="I332" s="3"/>
    </row>
    <row r="333" spans="1:9" x14ac:dyDescent="0.25">
      <c r="A333" s="2" t="s">
        <v>328</v>
      </c>
      <c r="B333" s="62">
        <v>32</v>
      </c>
      <c r="C333" s="68">
        <v>549</v>
      </c>
      <c r="D333" s="68">
        <v>17568</v>
      </c>
      <c r="E333" s="74">
        <v>800</v>
      </c>
      <c r="H333" s="8"/>
      <c r="I333" s="3"/>
    </row>
    <row r="334" spans="1:9" x14ac:dyDescent="0.25">
      <c r="A334" s="2" t="s">
        <v>329</v>
      </c>
      <c r="B334" s="62">
        <v>32</v>
      </c>
      <c r="C334" s="68">
        <v>499</v>
      </c>
      <c r="D334" s="68">
        <v>15968</v>
      </c>
      <c r="E334" s="74">
        <v>700</v>
      </c>
      <c r="H334" s="8"/>
      <c r="I334" s="3"/>
    </row>
    <row r="335" spans="1:9" x14ac:dyDescent="0.25">
      <c r="A335" s="2" t="s">
        <v>330</v>
      </c>
      <c r="B335" s="62">
        <v>7</v>
      </c>
      <c r="C335" s="68">
        <v>1990</v>
      </c>
      <c r="D335" s="68">
        <v>13930</v>
      </c>
      <c r="E335" s="73">
        <v>2800</v>
      </c>
      <c r="H335" s="8"/>
      <c r="I335" s="3"/>
    </row>
    <row r="336" spans="1:9" x14ac:dyDescent="0.25">
      <c r="A336" s="2" t="s">
        <v>331</v>
      </c>
      <c r="B336" s="62">
        <v>3</v>
      </c>
      <c r="C336" s="68">
        <v>1700</v>
      </c>
      <c r="D336" s="68">
        <v>5100</v>
      </c>
      <c r="E336" s="73">
        <v>2400</v>
      </c>
      <c r="H336" s="8"/>
      <c r="I336" s="3"/>
    </row>
    <row r="337" spans="1:9" x14ac:dyDescent="0.25">
      <c r="A337" s="2" t="s">
        <v>332</v>
      </c>
      <c r="B337" s="62">
        <v>5</v>
      </c>
      <c r="C337" s="68">
        <v>775</v>
      </c>
      <c r="D337" s="68">
        <v>3875</v>
      </c>
      <c r="E337" s="73">
        <v>1100</v>
      </c>
      <c r="H337" s="8"/>
      <c r="I337" s="3"/>
    </row>
    <row r="338" spans="1:9" x14ac:dyDescent="0.25">
      <c r="A338" s="2" t="s">
        <v>333</v>
      </c>
      <c r="B338" s="62">
        <v>2</v>
      </c>
      <c r="C338" s="68">
        <v>2000</v>
      </c>
      <c r="D338" s="68">
        <v>4000</v>
      </c>
      <c r="E338" s="73">
        <v>2800</v>
      </c>
      <c r="H338" s="8"/>
      <c r="I338" s="3"/>
    </row>
    <row r="339" spans="1:9" x14ac:dyDescent="0.25">
      <c r="A339" s="2" t="s">
        <v>334</v>
      </c>
      <c r="B339" s="62">
        <v>9</v>
      </c>
      <c r="C339" s="68">
        <v>400</v>
      </c>
      <c r="D339" s="68">
        <v>3600</v>
      </c>
      <c r="E339" s="74">
        <v>800</v>
      </c>
      <c r="H339" s="8"/>
      <c r="I339" s="3"/>
    </row>
    <row r="340" spans="1:9" x14ac:dyDescent="0.25">
      <c r="A340" s="2" t="s">
        <v>335</v>
      </c>
      <c r="B340" s="62">
        <v>6</v>
      </c>
      <c r="C340" s="68">
        <v>750</v>
      </c>
      <c r="D340" s="68">
        <v>4500</v>
      </c>
      <c r="E340" s="73">
        <v>1100</v>
      </c>
      <c r="H340" s="8"/>
      <c r="I340" s="3"/>
    </row>
    <row r="341" spans="1:9" x14ac:dyDescent="0.25">
      <c r="A341" s="2" t="s">
        <v>336</v>
      </c>
      <c r="B341" s="62">
        <v>4</v>
      </c>
      <c r="C341" s="68">
        <v>846</v>
      </c>
      <c r="D341" s="68">
        <v>3384</v>
      </c>
      <c r="E341" s="73">
        <v>1200</v>
      </c>
      <c r="H341" s="8"/>
      <c r="I341" s="3"/>
    </row>
    <row r="342" spans="1:9" x14ac:dyDescent="0.25">
      <c r="A342" s="2" t="s">
        <v>337</v>
      </c>
      <c r="B342" s="62">
        <v>15</v>
      </c>
      <c r="C342" s="68">
        <v>846</v>
      </c>
      <c r="D342" s="68">
        <v>12690</v>
      </c>
      <c r="E342" s="73">
        <v>1200</v>
      </c>
      <c r="H342" s="8"/>
      <c r="I342" s="3"/>
    </row>
    <row r="343" spans="1:9" x14ac:dyDescent="0.25">
      <c r="A343" s="2" t="s">
        <v>338</v>
      </c>
      <c r="B343" s="62">
        <v>4</v>
      </c>
      <c r="C343" s="68">
        <v>895</v>
      </c>
      <c r="D343" s="68">
        <v>3580</v>
      </c>
      <c r="E343" s="73">
        <v>1300</v>
      </c>
      <c r="H343" s="8"/>
      <c r="I343" s="3"/>
    </row>
    <row r="344" spans="1:9" x14ac:dyDescent="0.25">
      <c r="A344" s="2" t="s">
        <v>339</v>
      </c>
      <c r="B344" s="62">
        <v>6</v>
      </c>
      <c r="C344" s="68">
        <v>2655</v>
      </c>
      <c r="D344" s="68">
        <v>15930</v>
      </c>
      <c r="E344" s="73">
        <v>3800</v>
      </c>
      <c r="H344" s="8"/>
      <c r="I344" s="3"/>
    </row>
    <row r="345" spans="1:9" x14ac:dyDescent="0.25">
      <c r="A345" s="2" t="s">
        <v>340</v>
      </c>
      <c r="B345" s="62">
        <v>10</v>
      </c>
      <c r="C345" s="68">
        <v>251</v>
      </c>
      <c r="D345" s="68">
        <v>2510</v>
      </c>
      <c r="E345" s="74">
        <v>400</v>
      </c>
      <c r="H345" s="8"/>
      <c r="I345" s="3"/>
    </row>
    <row r="346" spans="1:9" x14ac:dyDescent="0.25">
      <c r="A346" s="2" t="s">
        <v>341</v>
      </c>
      <c r="B346" s="62">
        <v>15</v>
      </c>
      <c r="C346" s="68">
        <v>750</v>
      </c>
      <c r="D346" s="68">
        <v>11250</v>
      </c>
      <c r="E346" s="73">
        <v>1100</v>
      </c>
      <c r="H346" s="8"/>
      <c r="I346" s="3"/>
    </row>
    <row r="347" spans="1:9" x14ac:dyDescent="0.25">
      <c r="A347" s="2" t="s">
        <v>342</v>
      </c>
      <c r="B347" s="62">
        <v>36</v>
      </c>
      <c r="C347" s="68">
        <v>296</v>
      </c>
      <c r="D347" s="68">
        <v>10656</v>
      </c>
      <c r="E347" s="74">
        <v>500</v>
      </c>
      <c r="H347" s="8"/>
      <c r="I347" s="3"/>
    </row>
    <row r="348" spans="1:9" x14ac:dyDescent="0.25">
      <c r="A348" s="2" t="s">
        <v>343</v>
      </c>
      <c r="B348" s="62">
        <v>4</v>
      </c>
      <c r="C348" s="68">
        <v>655</v>
      </c>
      <c r="D348" s="68">
        <v>2620</v>
      </c>
      <c r="E348" s="73">
        <v>1000</v>
      </c>
      <c r="H348" s="8"/>
      <c r="I348" s="3"/>
    </row>
    <row r="349" spans="1:9" x14ac:dyDescent="0.25">
      <c r="A349" s="2" t="s">
        <v>344</v>
      </c>
      <c r="B349" s="62">
        <v>5</v>
      </c>
      <c r="C349" s="68">
        <v>795</v>
      </c>
      <c r="D349" s="68">
        <v>3975</v>
      </c>
      <c r="E349" s="73">
        <v>1200</v>
      </c>
      <c r="H349" s="8"/>
      <c r="I349" s="3"/>
    </row>
    <row r="350" spans="1:9" x14ac:dyDescent="0.25">
      <c r="A350" s="5" t="s">
        <v>345</v>
      </c>
      <c r="B350" s="69">
        <v>3</v>
      </c>
      <c r="C350" s="70">
        <v>4090</v>
      </c>
      <c r="D350" s="70">
        <v>12270</v>
      </c>
      <c r="E350" s="77">
        <v>5800</v>
      </c>
      <c r="H350" s="8"/>
      <c r="I350" s="3"/>
    </row>
    <row r="351" spans="1:9" x14ac:dyDescent="0.25">
      <c r="A351" s="2" t="s">
        <v>346</v>
      </c>
      <c r="B351" s="62">
        <v>4</v>
      </c>
      <c r="C351" s="68">
        <v>3990</v>
      </c>
      <c r="D351" s="68">
        <v>15960</v>
      </c>
      <c r="E351" s="78">
        <v>5600</v>
      </c>
      <c r="H351" s="8"/>
    </row>
    <row r="352" spans="1:9" x14ac:dyDescent="0.25">
      <c r="A352" s="2" t="s">
        <v>347</v>
      </c>
      <c r="B352" s="62">
        <v>10</v>
      </c>
      <c r="C352" s="68">
        <v>257</v>
      </c>
      <c r="D352" s="68">
        <v>2570</v>
      </c>
      <c r="E352" s="79">
        <v>360</v>
      </c>
      <c r="H352" s="9"/>
    </row>
    <row r="353" spans="1:8" x14ac:dyDescent="0.25">
      <c r="A353" s="2" t="s">
        <v>348</v>
      </c>
      <c r="B353" s="62">
        <v>12</v>
      </c>
      <c r="C353" s="68">
        <v>189</v>
      </c>
      <c r="D353" s="68">
        <v>2268</v>
      </c>
      <c r="E353" s="79">
        <v>300</v>
      </c>
      <c r="H353" s="9"/>
    </row>
    <row r="354" spans="1:8" x14ac:dyDescent="0.25">
      <c r="A354" s="2" t="s">
        <v>348</v>
      </c>
      <c r="B354" s="62">
        <v>12</v>
      </c>
      <c r="C354" s="68">
        <v>195</v>
      </c>
      <c r="D354" s="68">
        <v>2340</v>
      </c>
      <c r="E354" s="79">
        <v>280</v>
      </c>
      <c r="H354" s="9"/>
    </row>
    <row r="355" spans="1:8" x14ac:dyDescent="0.25">
      <c r="A355" s="2" t="s">
        <v>348</v>
      </c>
      <c r="B355" s="62">
        <v>12</v>
      </c>
      <c r="C355" s="68">
        <v>130</v>
      </c>
      <c r="D355" s="68">
        <v>1560</v>
      </c>
      <c r="E355" s="79">
        <v>190</v>
      </c>
      <c r="H355" s="9"/>
    </row>
    <row r="356" spans="1:8" x14ac:dyDescent="0.25">
      <c r="A356" s="2" t="s">
        <v>349</v>
      </c>
      <c r="B356" s="62">
        <v>12</v>
      </c>
      <c r="C356" s="68">
        <v>189</v>
      </c>
      <c r="D356" s="68">
        <v>2390</v>
      </c>
      <c r="E356" s="79">
        <v>300</v>
      </c>
      <c r="H356" s="9"/>
    </row>
    <row r="357" spans="1:8" x14ac:dyDescent="0.25">
      <c r="A357" s="2" t="s">
        <v>350</v>
      </c>
      <c r="B357" s="62">
        <v>3</v>
      </c>
      <c r="C357" s="68">
        <v>2985</v>
      </c>
      <c r="D357" s="68">
        <v>8955</v>
      </c>
      <c r="E357" s="78">
        <v>4200</v>
      </c>
      <c r="H357" s="8"/>
    </row>
    <row r="358" spans="1:8" x14ac:dyDescent="0.25">
      <c r="A358" s="2" t="s">
        <v>351</v>
      </c>
      <c r="B358" s="62">
        <v>2</v>
      </c>
      <c r="C358" s="68">
        <v>3320</v>
      </c>
      <c r="D358" s="68">
        <v>6640</v>
      </c>
      <c r="E358" s="78">
        <v>4700</v>
      </c>
      <c r="H358" s="8"/>
    </row>
    <row r="359" spans="1:8" x14ac:dyDescent="0.25">
      <c r="A359" s="2" t="s">
        <v>352</v>
      </c>
      <c r="B359" s="62">
        <v>10</v>
      </c>
      <c r="C359" s="68">
        <v>974</v>
      </c>
      <c r="D359" s="68">
        <v>9740</v>
      </c>
      <c r="E359" s="78">
        <v>1500</v>
      </c>
      <c r="H359" s="9"/>
    </row>
    <row r="360" spans="1:8" x14ac:dyDescent="0.25">
      <c r="A360" s="2" t="s">
        <v>353</v>
      </c>
      <c r="B360" s="62">
        <v>10</v>
      </c>
      <c r="C360" s="68">
        <v>1800</v>
      </c>
      <c r="D360" s="68">
        <v>18000</v>
      </c>
      <c r="E360" s="78">
        <v>2600</v>
      </c>
      <c r="H360" s="9"/>
    </row>
    <row r="361" spans="1:8" x14ac:dyDescent="0.25">
      <c r="A361" s="2" t="s">
        <v>354</v>
      </c>
      <c r="B361" s="62">
        <v>3</v>
      </c>
      <c r="C361" s="68">
        <v>700</v>
      </c>
      <c r="D361" s="68">
        <v>2100</v>
      </c>
      <c r="E361" s="78">
        <v>1000</v>
      </c>
      <c r="H361" s="9"/>
    </row>
    <row r="362" spans="1:8" x14ac:dyDescent="0.25">
      <c r="A362" s="2" t="s">
        <v>355</v>
      </c>
      <c r="B362" s="62">
        <v>20</v>
      </c>
      <c r="C362" s="68">
        <v>113</v>
      </c>
      <c r="D362" s="68">
        <v>2260</v>
      </c>
      <c r="E362" s="79">
        <v>200</v>
      </c>
      <c r="H362" s="9"/>
    </row>
    <row r="363" spans="1:8" x14ac:dyDescent="0.25">
      <c r="A363" s="2" t="s">
        <v>356</v>
      </c>
      <c r="B363" s="62">
        <v>5</v>
      </c>
      <c r="C363" s="68">
        <v>171</v>
      </c>
      <c r="D363" s="68">
        <v>855</v>
      </c>
      <c r="E363" s="79">
        <v>250</v>
      </c>
      <c r="H363" s="9"/>
    </row>
    <row r="364" spans="1:8" x14ac:dyDescent="0.25">
      <c r="A364" s="2" t="s">
        <v>357</v>
      </c>
      <c r="B364" s="62">
        <v>12</v>
      </c>
      <c r="C364" s="68">
        <v>210</v>
      </c>
      <c r="D364" s="68">
        <v>2520</v>
      </c>
      <c r="E364" s="79">
        <v>550</v>
      </c>
      <c r="H364" s="9"/>
    </row>
    <row r="365" spans="1:8" x14ac:dyDescent="0.25">
      <c r="A365" s="2" t="s">
        <v>358</v>
      </c>
      <c r="B365" s="62">
        <v>1</v>
      </c>
      <c r="C365" s="68">
        <v>1883</v>
      </c>
      <c r="D365" s="68">
        <v>1883</v>
      </c>
      <c r="E365" s="78">
        <v>2700</v>
      </c>
      <c r="H365" s="9"/>
    </row>
    <row r="366" spans="1:8" x14ac:dyDescent="0.25">
      <c r="A366" s="2" t="s">
        <v>359</v>
      </c>
      <c r="B366" s="62">
        <v>1</v>
      </c>
      <c r="C366" s="68">
        <v>1150</v>
      </c>
      <c r="D366" s="68">
        <v>1150</v>
      </c>
      <c r="E366" s="78">
        <v>1650</v>
      </c>
      <c r="H366" s="9"/>
    </row>
    <row r="367" spans="1:8" x14ac:dyDescent="0.25">
      <c r="A367" s="2" t="s">
        <v>360</v>
      </c>
      <c r="B367" s="62">
        <v>6</v>
      </c>
      <c r="C367" s="68">
        <v>1416</v>
      </c>
      <c r="D367" s="68">
        <v>8496</v>
      </c>
      <c r="E367" s="78">
        <v>2000</v>
      </c>
      <c r="H367" s="9"/>
    </row>
    <row r="368" spans="1:8" x14ac:dyDescent="0.25">
      <c r="A368" s="2" t="s">
        <v>361</v>
      </c>
      <c r="B368" s="62">
        <v>3</v>
      </c>
      <c r="C368" s="68">
        <v>4600</v>
      </c>
      <c r="D368" s="68">
        <v>13800</v>
      </c>
      <c r="E368" s="78">
        <v>5500</v>
      </c>
    </row>
    <row r="369" spans="1:8" x14ac:dyDescent="0.25">
      <c r="A369" s="7" t="s">
        <v>362</v>
      </c>
      <c r="B369" s="62">
        <v>10</v>
      </c>
      <c r="C369" s="68">
        <v>342</v>
      </c>
      <c r="D369" s="68">
        <v>3420</v>
      </c>
      <c r="E369" s="79">
        <v>550</v>
      </c>
      <c r="H369" s="9"/>
    </row>
    <row r="370" spans="1:8" x14ac:dyDescent="0.25">
      <c r="A370" s="2" t="s">
        <v>363</v>
      </c>
      <c r="B370" s="62">
        <v>5</v>
      </c>
      <c r="C370" s="68">
        <v>450</v>
      </c>
      <c r="D370" s="72">
        <v>2250</v>
      </c>
      <c r="E370" s="79">
        <v>650</v>
      </c>
      <c r="H370" s="9"/>
    </row>
    <row r="371" spans="1:8" x14ac:dyDescent="0.25">
      <c r="A371" s="2" t="s">
        <v>364</v>
      </c>
      <c r="B371" s="62">
        <v>5</v>
      </c>
      <c r="C371" s="68">
        <v>450</v>
      </c>
      <c r="D371" s="72">
        <v>2250</v>
      </c>
      <c r="E371" s="79">
        <v>650</v>
      </c>
      <c r="H371" s="9"/>
    </row>
    <row r="372" spans="1:8" x14ac:dyDescent="0.25">
      <c r="A372" s="2" t="s">
        <v>365</v>
      </c>
      <c r="B372" s="62">
        <v>5</v>
      </c>
      <c r="C372" s="72">
        <v>1030</v>
      </c>
      <c r="D372" s="72">
        <v>5150</v>
      </c>
      <c r="E372" s="78">
        <v>1500</v>
      </c>
      <c r="H372" s="9"/>
    </row>
    <row r="373" spans="1:8" x14ac:dyDescent="0.25">
      <c r="A373" s="2" t="s">
        <v>366</v>
      </c>
      <c r="B373" s="62">
        <v>5</v>
      </c>
      <c r="C373" s="72">
        <v>1170</v>
      </c>
      <c r="D373" s="72">
        <v>5850</v>
      </c>
      <c r="E373" s="78">
        <v>1650</v>
      </c>
      <c r="H373" s="9"/>
    </row>
    <row r="374" spans="1:8" x14ac:dyDescent="0.25">
      <c r="A374" s="2" t="s">
        <v>367</v>
      </c>
      <c r="B374" s="62">
        <v>5</v>
      </c>
      <c r="C374" s="72">
        <v>3410</v>
      </c>
      <c r="D374" s="72">
        <v>17050</v>
      </c>
      <c r="E374" s="78">
        <v>4800</v>
      </c>
      <c r="H374" s="8"/>
    </row>
    <row r="375" spans="1:8" x14ac:dyDescent="0.25">
      <c r="A375" s="2" t="s">
        <v>368</v>
      </c>
      <c r="B375" s="62">
        <v>5</v>
      </c>
      <c r="C375" s="72">
        <v>2580</v>
      </c>
      <c r="D375" s="72">
        <v>12900</v>
      </c>
      <c r="E375" s="78">
        <v>3700</v>
      </c>
      <c r="H375" s="8"/>
    </row>
    <row r="376" spans="1:8" x14ac:dyDescent="0.25">
      <c r="A376" s="2" t="s">
        <v>369</v>
      </c>
      <c r="B376" s="62">
        <v>5</v>
      </c>
      <c r="C376" s="72">
        <v>2730</v>
      </c>
      <c r="D376" s="72">
        <v>13650</v>
      </c>
      <c r="E376" s="78">
        <v>3900</v>
      </c>
      <c r="H376" s="8"/>
    </row>
    <row r="377" spans="1:8" x14ac:dyDescent="0.25">
      <c r="A377" s="2" t="s">
        <v>370</v>
      </c>
      <c r="B377" s="62">
        <v>5</v>
      </c>
      <c r="C377" s="72">
        <v>2450</v>
      </c>
      <c r="D377" s="72">
        <v>12250</v>
      </c>
      <c r="E377" s="78">
        <v>3450</v>
      </c>
      <c r="H377" s="8"/>
    </row>
    <row r="378" spans="1:8" x14ac:dyDescent="0.25">
      <c r="A378" s="2" t="s">
        <v>371</v>
      </c>
      <c r="B378" s="62">
        <v>5</v>
      </c>
      <c r="C378" s="68">
        <v>980</v>
      </c>
      <c r="D378" s="72">
        <v>4900</v>
      </c>
      <c r="E378" s="78">
        <v>1400</v>
      </c>
      <c r="H378" s="9"/>
    </row>
    <row r="379" spans="1:8" x14ac:dyDescent="0.25">
      <c r="A379" s="2" t="s">
        <v>372</v>
      </c>
      <c r="B379" s="62">
        <v>5</v>
      </c>
      <c r="C379" s="72">
        <v>1100</v>
      </c>
      <c r="D379" s="72">
        <v>5500</v>
      </c>
      <c r="E379" s="78">
        <v>1600</v>
      </c>
      <c r="H379" s="9"/>
    </row>
    <row r="380" spans="1:8" x14ac:dyDescent="0.25">
      <c r="A380" s="2" t="s">
        <v>373</v>
      </c>
      <c r="B380" s="62">
        <v>5</v>
      </c>
      <c r="C380" s="72">
        <v>1290</v>
      </c>
      <c r="D380" s="72">
        <v>6450</v>
      </c>
      <c r="E380" s="78">
        <v>1800</v>
      </c>
      <c r="H380" s="9"/>
    </row>
    <row r="381" spans="1:8" x14ac:dyDescent="0.25">
      <c r="A381" s="2" t="s">
        <v>374</v>
      </c>
      <c r="B381" s="62">
        <v>5</v>
      </c>
      <c r="C381" s="68">
        <v>560</v>
      </c>
      <c r="D381" s="72">
        <v>2800</v>
      </c>
      <c r="E381" s="79">
        <v>800</v>
      </c>
      <c r="H381" s="9"/>
    </row>
    <row r="382" spans="1:8" x14ac:dyDescent="0.25">
      <c r="A382" s="2" t="s">
        <v>375</v>
      </c>
      <c r="B382" s="62">
        <v>1</v>
      </c>
      <c r="C382" s="72">
        <v>2340</v>
      </c>
      <c r="D382" s="72">
        <v>2340</v>
      </c>
      <c r="E382" s="78">
        <v>3300</v>
      </c>
      <c r="H382" s="9"/>
    </row>
    <row r="383" spans="1:8" x14ac:dyDescent="0.25">
      <c r="A383" s="2" t="s">
        <v>376</v>
      </c>
      <c r="B383" s="62">
        <v>60</v>
      </c>
      <c r="C383" s="68">
        <v>1400</v>
      </c>
      <c r="D383" s="68">
        <v>7000</v>
      </c>
      <c r="E383" s="79">
        <v>200</v>
      </c>
      <c r="H383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5320-7206-4D0D-9E46-AE4C5A2F9A77}">
  <dimension ref="A1:E222"/>
  <sheetViews>
    <sheetView workbookViewId="0">
      <selection activeCell="B22" sqref="B22"/>
    </sheetView>
  </sheetViews>
  <sheetFormatPr baseColWidth="10" defaultRowHeight="15" x14ac:dyDescent="0.25"/>
  <cols>
    <col min="1" max="1" width="16.5703125" bestFit="1" customWidth="1"/>
    <col min="2" max="2" width="79.42578125" bestFit="1" customWidth="1"/>
    <col min="3" max="3" width="13.42578125" bestFit="1" customWidth="1"/>
    <col min="4" max="4" width="16.5703125" bestFit="1" customWidth="1"/>
    <col min="5" max="5" width="16" bestFit="1" customWidth="1"/>
    <col min="10" max="10" width="11.42578125" customWidth="1"/>
  </cols>
  <sheetData>
    <row r="1" spans="1:5" x14ac:dyDescent="0.25">
      <c r="A1" s="12" t="s">
        <v>377</v>
      </c>
      <c r="B1" s="13" t="s">
        <v>378</v>
      </c>
      <c r="C1" s="36" t="s">
        <v>379</v>
      </c>
      <c r="D1" s="14" t="s">
        <v>380</v>
      </c>
      <c r="E1" s="46" t="s">
        <v>381</v>
      </c>
    </row>
    <row r="2" spans="1:5" x14ac:dyDescent="0.25">
      <c r="A2" s="15"/>
      <c r="B2" s="16" t="s">
        <v>382</v>
      </c>
      <c r="C2" s="37">
        <v>10</v>
      </c>
      <c r="D2" s="17">
        <v>4000</v>
      </c>
      <c r="E2" s="47">
        <f>C2*D2</f>
        <v>40000</v>
      </c>
    </row>
    <row r="3" spans="1:5" x14ac:dyDescent="0.25">
      <c r="A3" s="18">
        <v>5975523</v>
      </c>
      <c r="B3" s="19" t="s">
        <v>382</v>
      </c>
      <c r="C3" s="38">
        <v>10</v>
      </c>
      <c r="D3" s="17">
        <v>400</v>
      </c>
      <c r="E3" s="48">
        <v>4000</v>
      </c>
    </row>
    <row r="4" spans="1:5" x14ac:dyDescent="0.25">
      <c r="A4" s="15">
        <v>7162008</v>
      </c>
      <c r="B4" s="16" t="s">
        <v>383</v>
      </c>
      <c r="C4" s="37">
        <v>1</v>
      </c>
      <c r="D4" s="17">
        <v>12050</v>
      </c>
      <c r="E4" s="47">
        <f>C4*D4</f>
        <v>12050</v>
      </c>
    </row>
    <row r="5" spans="1:5" x14ac:dyDescent="0.25">
      <c r="A5" s="15"/>
      <c r="B5" s="20" t="s">
        <v>384</v>
      </c>
      <c r="C5" s="39">
        <v>6</v>
      </c>
      <c r="D5" s="17">
        <v>470</v>
      </c>
      <c r="E5" s="49">
        <v>2820</v>
      </c>
    </row>
    <row r="6" spans="1:5" x14ac:dyDescent="0.25">
      <c r="A6" s="21">
        <v>4156295</v>
      </c>
      <c r="B6" s="16" t="s">
        <v>385</v>
      </c>
      <c r="C6" s="37">
        <v>3</v>
      </c>
      <c r="D6" s="17">
        <v>930</v>
      </c>
      <c r="E6" s="50">
        <v>2790</v>
      </c>
    </row>
    <row r="7" spans="1:5" x14ac:dyDescent="0.25">
      <c r="A7" s="15">
        <v>859649</v>
      </c>
      <c r="B7" s="16" t="s">
        <v>386</v>
      </c>
      <c r="C7" s="37">
        <v>3</v>
      </c>
      <c r="D7" s="17">
        <v>1870</v>
      </c>
      <c r="E7" s="47">
        <f>C7*D7</f>
        <v>5610</v>
      </c>
    </row>
    <row r="8" spans="1:5" x14ac:dyDescent="0.25">
      <c r="A8" s="15">
        <v>5889285</v>
      </c>
      <c r="B8" s="16" t="s">
        <v>387</v>
      </c>
      <c r="C8" s="37">
        <v>3</v>
      </c>
      <c r="D8" s="17">
        <v>1870</v>
      </c>
      <c r="E8" s="47">
        <f>C8*D8</f>
        <v>5610</v>
      </c>
    </row>
    <row r="9" spans="1:5" x14ac:dyDescent="0.25">
      <c r="A9" s="15">
        <v>8522941</v>
      </c>
      <c r="B9" s="16" t="s">
        <v>388</v>
      </c>
      <c r="C9" s="37">
        <v>3</v>
      </c>
      <c r="D9" s="17">
        <v>1870</v>
      </c>
      <c r="E9" s="47">
        <f>C9*D9</f>
        <v>5610</v>
      </c>
    </row>
    <row r="10" spans="1:5" x14ac:dyDescent="0.25">
      <c r="A10" s="15"/>
      <c r="B10" s="16" t="s">
        <v>389</v>
      </c>
      <c r="C10" s="37">
        <v>3</v>
      </c>
      <c r="D10" s="17">
        <v>1990</v>
      </c>
      <c r="E10" s="51">
        <v>5970</v>
      </c>
    </row>
    <row r="11" spans="1:5" x14ac:dyDescent="0.25">
      <c r="A11" s="15"/>
      <c r="B11" s="20" t="s">
        <v>390</v>
      </c>
      <c r="C11" s="39">
        <v>3</v>
      </c>
      <c r="D11" s="17">
        <v>2000</v>
      </c>
      <c r="E11" s="49">
        <v>6000</v>
      </c>
    </row>
    <row r="12" spans="1:5" x14ac:dyDescent="0.25">
      <c r="A12" s="15">
        <v>1104376</v>
      </c>
      <c r="B12" s="16" t="s">
        <v>391</v>
      </c>
      <c r="C12" s="37">
        <v>1</v>
      </c>
      <c r="D12" s="17">
        <v>2490</v>
      </c>
      <c r="E12" s="47">
        <f>C12*D12</f>
        <v>2490</v>
      </c>
    </row>
    <row r="13" spans="1:5" x14ac:dyDescent="0.25">
      <c r="A13" s="15">
        <v>1104291</v>
      </c>
      <c r="B13" s="16" t="s">
        <v>391</v>
      </c>
      <c r="C13" s="37">
        <v>2</v>
      </c>
      <c r="D13" s="17">
        <v>2450</v>
      </c>
      <c r="E13" s="47">
        <f>C13*D13</f>
        <v>4900</v>
      </c>
    </row>
    <row r="14" spans="1:5" x14ac:dyDescent="0.25">
      <c r="A14" s="15">
        <v>1104321</v>
      </c>
      <c r="B14" s="16" t="s">
        <v>391</v>
      </c>
      <c r="C14" s="37">
        <v>2</v>
      </c>
      <c r="D14" s="17">
        <v>2490</v>
      </c>
      <c r="E14" s="47">
        <f>C14*D14</f>
        <v>4980</v>
      </c>
    </row>
    <row r="15" spans="1:5" x14ac:dyDescent="0.25">
      <c r="A15" s="15"/>
      <c r="B15" s="20" t="s">
        <v>392</v>
      </c>
      <c r="C15" s="39">
        <v>1</v>
      </c>
      <c r="D15" s="17">
        <v>1190</v>
      </c>
      <c r="E15" s="49">
        <v>1190</v>
      </c>
    </row>
    <row r="16" spans="1:5" x14ac:dyDescent="0.25">
      <c r="A16" s="15"/>
      <c r="B16" s="20" t="s">
        <v>393</v>
      </c>
      <c r="C16" s="39">
        <v>6</v>
      </c>
      <c r="D16" s="17">
        <v>425</v>
      </c>
      <c r="E16" s="49">
        <v>2550</v>
      </c>
    </row>
    <row r="17" spans="1:5" x14ac:dyDescent="0.25">
      <c r="A17" s="22">
        <v>4410731</v>
      </c>
      <c r="B17" s="23" t="s">
        <v>394</v>
      </c>
      <c r="C17" s="40">
        <v>4</v>
      </c>
      <c r="D17" s="17">
        <v>630</v>
      </c>
      <c r="E17" s="52">
        <v>2520</v>
      </c>
    </row>
    <row r="18" spans="1:5" x14ac:dyDescent="0.25">
      <c r="A18" s="21">
        <v>3940499</v>
      </c>
      <c r="B18" s="16" t="s">
        <v>395</v>
      </c>
      <c r="C18" s="37">
        <v>8</v>
      </c>
      <c r="D18" s="17">
        <v>770</v>
      </c>
      <c r="E18" s="50">
        <v>6160</v>
      </c>
    </row>
    <row r="19" spans="1:5" x14ac:dyDescent="0.25">
      <c r="A19" s="15"/>
      <c r="B19" s="16" t="s">
        <v>396</v>
      </c>
      <c r="C19" s="37">
        <v>2</v>
      </c>
      <c r="D19" s="17">
        <v>7040</v>
      </c>
      <c r="E19" s="47">
        <f>C19*D19</f>
        <v>14080</v>
      </c>
    </row>
    <row r="20" spans="1:5" x14ac:dyDescent="0.25">
      <c r="A20" s="15">
        <v>8381002</v>
      </c>
      <c r="B20" s="16" t="s">
        <v>396</v>
      </c>
      <c r="C20" s="37">
        <v>2</v>
      </c>
      <c r="D20" s="17">
        <v>3520</v>
      </c>
      <c r="E20" s="53">
        <v>7040</v>
      </c>
    </row>
    <row r="21" spans="1:5" x14ac:dyDescent="0.25">
      <c r="A21" s="24">
        <v>5961647</v>
      </c>
      <c r="B21" s="25" t="s">
        <v>397</v>
      </c>
      <c r="C21" s="41">
        <v>3</v>
      </c>
      <c r="D21" s="17">
        <v>700</v>
      </c>
      <c r="E21" s="54">
        <v>2100</v>
      </c>
    </row>
    <row r="22" spans="1:5" x14ac:dyDescent="0.25">
      <c r="A22" s="22">
        <v>3941106</v>
      </c>
      <c r="B22" s="23" t="s">
        <v>398</v>
      </c>
      <c r="C22" s="40">
        <v>5</v>
      </c>
      <c r="D22" s="17">
        <v>1250</v>
      </c>
      <c r="E22" s="52">
        <v>6250</v>
      </c>
    </row>
    <row r="23" spans="1:5" x14ac:dyDescent="0.25">
      <c r="A23" s="24">
        <v>3668096</v>
      </c>
      <c r="B23" s="25" t="s">
        <v>399</v>
      </c>
      <c r="C23" s="41">
        <v>5</v>
      </c>
      <c r="D23" s="17">
        <v>1180</v>
      </c>
      <c r="E23" s="54">
        <v>5900</v>
      </c>
    </row>
    <row r="24" spans="1:5" x14ac:dyDescent="0.25">
      <c r="A24" s="24">
        <v>5006021</v>
      </c>
      <c r="B24" s="25" t="s">
        <v>400</v>
      </c>
      <c r="C24" s="41">
        <v>2</v>
      </c>
      <c r="D24" s="17">
        <v>1710</v>
      </c>
      <c r="E24" s="54">
        <v>3420</v>
      </c>
    </row>
    <row r="25" spans="1:5" x14ac:dyDescent="0.25">
      <c r="A25" s="22">
        <v>3668645</v>
      </c>
      <c r="B25" s="23" t="s">
        <v>401</v>
      </c>
      <c r="C25" s="40">
        <v>8</v>
      </c>
      <c r="D25" s="17">
        <v>1240</v>
      </c>
      <c r="E25" s="52">
        <v>9920</v>
      </c>
    </row>
    <row r="26" spans="1:5" x14ac:dyDescent="0.25">
      <c r="A26" s="22">
        <v>5656013</v>
      </c>
      <c r="B26" s="23" t="s">
        <v>402</v>
      </c>
      <c r="C26" s="40">
        <v>6</v>
      </c>
      <c r="D26" s="17">
        <v>525</v>
      </c>
      <c r="E26" s="52">
        <v>3150</v>
      </c>
    </row>
    <row r="27" spans="1:5" x14ac:dyDescent="0.25">
      <c r="A27" s="24">
        <v>5656012</v>
      </c>
      <c r="B27" s="25" t="s">
        <v>403</v>
      </c>
      <c r="C27" s="41">
        <v>6</v>
      </c>
      <c r="D27" s="17">
        <v>525</v>
      </c>
      <c r="E27" s="54">
        <v>3150</v>
      </c>
    </row>
    <row r="28" spans="1:5" x14ac:dyDescent="0.25">
      <c r="A28" s="24">
        <v>5656014</v>
      </c>
      <c r="B28" s="25" t="s">
        <v>404</v>
      </c>
      <c r="C28" s="41">
        <v>6</v>
      </c>
      <c r="D28" s="17">
        <v>525</v>
      </c>
      <c r="E28" s="54">
        <v>3150</v>
      </c>
    </row>
    <row r="29" spans="1:5" x14ac:dyDescent="0.25">
      <c r="A29" s="24">
        <v>5656006</v>
      </c>
      <c r="B29" s="25" t="s">
        <v>405</v>
      </c>
      <c r="C29" s="41">
        <v>6</v>
      </c>
      <c r="D29" s="17">
        <v>525</v>
      </c>
      <c r="E29" s="54">
        <v>3150</v>
      </c>
    </row>
    <row r="30" spans="1:5" x14ac:dyDescent="0.25">
      <c r="A30" s="22">
        <v>5656009</v>
      </c>
      <c r="B30" s="23" t="s">
        <v>406</v>
      </c>
      <c r="C30" s="40">
        <v>6</v>
      </c>
      <c r="D30" s="17">
        <v>525</v>
      </c>
      <c r="E30" s="52">
        <v>3150</v>
      </c>
    </row>
    <row r="31" spans="1:5" x14ac:dyDescent="0.25">
      <c r="A31" s="22">
        <v>5656017</v>
      </c>
      <c r="B31" s="23" t="s">
        <v>407</v>
      </c>
      <c r="C31" s="40">
        <v>6</v>
      </c>
      <c r="D31" s="17">
        <v>525</v>
      </c>
      <c r="E31" s="52">
        <v>3150</v>
      </c>
    </row>
    <row r="32" spans="1:5" x14ac:dyDescent="0.25">
      <c r="A32" s="22">
        <v>5656007</v>
      </c>
      <c r="B32" s="23" t="s">
        <v>408</v>
      </c>
      <c r="C32" s="40">
        <v>6</v>
      </c>
      <c r="D32" s="17">
        <v>525</v>
      </c>
      <c r="E32" s="52">
        <v>3150</v>
      </c>
    </row>
    <row r="33" spans="1:5" x14ac:dyDescent="0.25">
      <c r="A33" s="24">
        <v>5656011</v>
      </c>
      <c r="B33" s="25" t="s">
        <v>409</v>
      </c>
      <c r="C33" s="41">
        <v>6</v>
      </c>
      <c r="D33" s="17">
        <v>525</v>
      </c>
      <c r="E33" s="54">
        <v>3150</v>
      </c>
    </row>
    <row r="34" spans="1:5" x14ac:dyDescent="0.25">
      <c r="A34" s="22">
        <v>5656002</v>
      </c>
      <c r="B34" s="23" t="s">
        <v>410</v>
      </c>
      <c r="C34" s="40">
        <v>6</v>
      </c>
      <c r="D34" s="17">
        <v>525</v>
      </c>
      <c r="E34" s="52">
        <v>3150</v>
      </c>
    </row>
    <row r="35" spans="1:5" x14ac:dyDescent="0.25">
      <c r="A35" s="24">
        <v>4085939</v>
      </c>
      <c r="B35" s="25" t="s">
        <v>411</v>
      </c>
      <c r="C35" s="41">
        <v>5</v>
      </c>
      <c r="D35" s="17">
        <v>1240</v>
      </c>
      <c r="E35" s="54">
        <v>6200</v>
      </c>
    </row>
    <row r="36" spans="1:5" x14ac:dyDescent="0.25">
      <c r="A36" s="15"/>
      <c r="B36" s="20" t="s">
        <v>412</v>
      </c>
      <c r="C36" s="39">
        <v>8</v>
      </c>
      <c r="D36" s="17">
        <v>1130</v>
      </c>
      <c r="E36" s="49">
        <v>9040</v>
      </c>
    </row>
    <row r="37" spans="1:5" x14ac:dyDescent="0.25">
      <c r="A37" s="18">
        <v>4456231</v>
      </c>
      <c r="B37" s="19" t="s">
        <v>413</v>
      </c>
      <c r="C37" s="38">
        <v>6</v>
      </c>
      <c r="D37" s="17">
        <v>910</v>
      </c>
      <c r="E37" s="48">
        <v>5460</v>
      </c>
    </row>
    <row r="38" spans="1:5" x14ac:dyDescent="0.25">
      <c r="A38" s="15"/>
      <c r="B38" s="16" t="s">
        <v>414</v>
      </c>
      <c r="C38" s="37">
        <v>6</v>
      </c>
      <c r="D38" s="17">
        <v>5460</v>
      </c>
      <c r="E38" s="47">
        <f>C38*D38</f>
        <v>32760</v>
      </c>
    </row>
    <row r="39" spans="1:5" x14ac:dyDescent="0.25">
      <c r="A39" s="21">
        <v>4469538</v>
      </c>
      <c r="B39" s="16" t="s">
        <v>415</v>
      </c>
      <c r="C39" s="37">
        <v>1</v>
      </c>
      <c r="D39" s="17">
        <v>1970</v>
      </c>
      <c r="E39" s="50">
        <v>1970</v>
      </c>
    </row>
    <row r="40" spans="1:5" x14ac:dyDescent="0.25">
      <c r="A40" s="15"/>
      <c r="B40" s="16" t="s">
        <v>416</v>
      </c>
      <c r="C40" s="37">
        <v>6</v>
      </c>
      <c r="D40" s="17">
        <v>4080</v>
      </c>
      <c r="E40" s="47">
        <f>C40*D40</f>
        <v>24480</v>
      </c>
    </row>
    <row r="41" spans="1:5" x14ac:dyDescent="0.25">
      <c r="A41" s="15">
        <v>106024</v>
      </c>
      <c r="B41" s="16" t="s">
        <v>416</v>
      </c>
      <c r="C41" s="37">
        <v>6</v>
      </c>
      <c r="D41" s="17">
        <v>680</v>
      </c>
      <c r="E41" s="53">
        <v>4080</v>
      </c>
    </row>
    <row r="42" spans="1:5" x14ac:dyDescent="0.25">
      <c r="A42" s="15"/>
      <c r="B42" s="16" t="s">
        <v>417</v>
      </c>
      <c r="C42" s="37">
        <v>5</v>
      </c>
      <c r="D42" s="17">
        <v>3525</v>
      </c>
      <c r="E42" s="47">
        <f>C42*D42</f>
        <v>17625</v>
      </c>
    </row>
    <row r="43" spans="1:5" x14ac:dyDescent="0.25">
      <c r="A43" s="18">
        <v>4014465</v>
      </c>
      <c r="B43" s="19" t="s">
        <v>417</v>
      </c>
      <c r="C43" s="38">
        <v>5</v>
      </c>
      <c r="D43" s="17">
        <v>705</v>
      </c>
      <c r="E43" s="48">
        <v>3525</v>
      </c>
    </row>
    <row r="44" spans="1:5" x14ac:dyDescent="0.25">
      <c r="A44" s="15"/>
      <c r="B44" s="16" t="s">
        <v>418</v>
      </c>
      <c r="C44" s="37">
        <v>1</v>
      </c>
      <c r="D44" s="17">
        <v>7050</v>
      </c>
      <c r="E44" s="47">
        <f>C44*D44</f>
        <v>7050</v>
      </c>
    </row>
    <row r="45" spans="1:5" x14ac:dyDescent="0.25">
      <c r="A45" s="15">
        <v>5016844</v>
      </c>
      <c r="B45" s="16" t="s">
        <v>418</v>
      </c>
      <c r="C45" s="37">
        <v>1</v>
      </c>
      <c r="D45" s="17">
        <v>7050</v>
      </c>
      <c r="E45" s="53">
        <v>7050</v>
      </c>
    </row>
    <row r="46" spans="1:5" x14ac:dyDescent="0.25">
      <c r="A46" s="24">
        <v>5016837</v>
      </c>
      <c r="B46" s="25" t="s">
        <v>419</v>
      </c>
      <c r="C46" s="41">
        <v>1</v>
      </c>
      <c r="D46" s="17">
        <v>3340</v>
      </c>
      <c r="E46" s="54">
        <v>3340</v>
      </c>
    </row>
    <row r="47" spans="1:5" x14ac:dyDescent="0.25">
      <c r="A47" s="18">
        <v>5051906</v>
      </c>
      <c r="B47" s="19" t="s">
        <v>420</v>
      </c>
      <c r="C47" s="38">
        <v>1</v>
      </c>
      <c r="D47" s="17">
        <v>8290</v>
      </c>
      <c r="E47" s="48">
        <v>8290</v>
      </c>
    </row>
    <row r="48" spans="1:5" x14ac:dyDescent="0.25">
      <c r="A48" s="15"/>
      <c r="B48" s="16" t="s">
        <v>421</v>
      </c>
      <c r="C48" s="37">
        <v>1</v>
      </c>
      <c r="D48" s="17">
        <v>8290</v>
      </c>
      <c r="E48" s="47">
        <f>C48*D48</f>
        <v>8290</v>
      </c>
    </row>
    <row r="49" spans="1:5" x14ac:dyDescent="0.25">
      <c r="A49" s="15"/>
      <c r="B49" s="26" t="s">
        <v>422</v>
      </c>
      <c r="C49" s="42">
        <v>3</v>
      </c>
      <c r="D49" s="17">
        <v>11000</v>
      </c>
      <c r="E49" s="55">
        <v>33000</v>
      </c>
    </row>
    <row r="50" spans="1:5" x14ac:dyDescent="0.25">
      <c r="A50" s="15">
        <v>5008221</v>
      </c>
      <c r="B50" s="26" t="s">
        <v>422</v>
      </c>
      <c r="C50" s="42">
        <v>3</v>
      </c>
      <c r="D50" s="17">
        <v>11000</v>
      </c>
      <c r="E50" s="56">
        <v>33000</v>
      </c>
    </row>
    <row r="51" spans="1:5" x14ac:dyDescent="0.25">
      <c r="A51" s="15"/>
      <c r="B51" s="27" t="s">
        <v>423</v>
      </c>
      <c r="C51" s="43">
        <v>1</v>
      </c>
      <c r="D51" s="17">
        <v>11000</v>
      </c>
      <c r="E51" s="57">
        <v>11000</v>
      </c>
    </row>
    <row r="52" spans="1:5" x14ac:dyDescent="0.25">
      <c r="A52" s="15" t="s">
        <v>424</v>
      </c>
      <c r="B52" s="28" t="s">
        <v>423</v>
      </c>
      <c r="C52" s="42">
        <v>1</v>
      </c>
      <c r="D52" s="17">
        <v>11000</v>
      </c>
      <c r="E52" s="56">
        <v>11000</v>
      </c>
    </row>
    <row r="53" spans="1:5" ht="30" x14ac:dyDescent="0.25">
      <c r="A53" s="15" t="s">
        <v>425</v>
      </c>
      <c r="B53" s="28" t="s">
        <v>426</v>
      </c>
      <c r="C53" s="42">
        <v>1</v>
      </c>
      <c r="D53" s="17">
        <v>11000</v>
      </c>
      <c r="E53" s="56">
        <v>11000</v>
      </c>
    </row>
    <row r="54" spans="1:5" x14ac:dyDescent="0.25">
      <c r="A54" s="15"/>
      <c r="B54" s="27" t="s">
        <v>427</v>
      </c>
      <c r="C54" s="43">
        <v>1</v>
      </c>
      <c r="D54" s="17">
        <v>11000</v>
      </c>
      <c r="E54" s="57">
        <v>11000</v>
      </c>
    </row>
    <row r="55" spans="1:5" x14ac:dyDescent="0.25">
      <c r="A55" s="21">
        <v>3673261</v>
      </c>
      <c r="B55" s="16" t="s">
        <v>428</v>
      </c>
      <c r="C55" s="37">
        <v>3</v>
      </c>
      <c r="D55" s="17">
        <v>1240</v>
      </c>
      <c r="E55" s="50">
        <v>3720</v>
      </c>
    </row>
    <row r="56" spans="1:5" x14ac:dyDescent="0.25">
      <c r="A56" s="15"/>
      <c r="B56" s="20" t="s">
        <v>428</v>
      </c>
      <c r="C56" s="39">
        <v>3</v>
      </c>
      <c r="D56" s="17">
        <v>1240</v>
      </c>
      <c r="E56" s="49">
        <v>3720</v>
      </c>
    </row>
    <row r="57" spans="1:5" x14ac:dyDescent="0.25">
      <c r="A57" s="21">
        <v>9263528</v>
      </c>
      <c r="B57" s="16" t="s">
        <v>429</v>
      </c>
      <c r="C57" s="37">
        <v>3</v>
      </c>
      <c r="D57" s="17">
        <v>1400</v>
      </c>
      <c r="E57" s="50">
        <v>4200</v>
      </c>
    </row>
    <row r="58" spans="1:5" x14ac:dyDescent="0.25">
      <c r="A58" s="15"/>
      <c r="B58" s="16" t="s">
        <v>429</v>
      </c>
      <c r="C58" s="37">
        <v>3</v>
      </c>
      <c r="D58" s="17">
        <v>1400</v>
      </c>
      <c r="E58" s="51">
        <v>4200</v>
      </c>
    </row>
    <row r="59" spans="1:5" x14ac:dyDescent="0.25">
      <c r="A59" s="15"/>
      <c r="B59" s="16" t="s">
        <v>430</v>
      </c>
      <c r="C59" s="37">
        <v>1</v>
      </c>
      <c r="D59" s="17">
        <v>4130</v>
      </c>
      <c r="E59" s="47">
        <f>C59*D59</f>
        <v>4130</v>
      </c>
    </row>
    <row r="60" spans="1:5" x14ac:dyDescent="0.25">
      <c r="A60" s="15">
        <v>9444991</v>
      </c>
      <c r="B60" s="16" t="s">
        <v>431</v>
      </c>
      <c r="C60" s="37">
        <v>1</v>
      </c>
      <c r="D60" s="17">
        <v>4130</v>
      </c>
      <c r="E60" s="53">
        <v>4130</v>
      </c>
    </row>
    <row r="61" spans="1:5" x14ac:dyDescent="0.25">
      <c r="A61" s="15"/>
      <c r="B61" s="16" t="s">
        <v>432</v>
      </c>
      <c r="C61" s="37">
        <v>1</v>
      </c>
      <c r="D61" s="17">
        <v>3450</v>
      </c>
      <c r="E61" s="47">
        <f>C61*D61</f>
        <v>3450</v>
      </c>
    </row>
    <row r="62" spans="1:5" x14ac:dyDescent="0.25">
      <c r="A62" s="18">
        <v>5034183</v>
      </c>
      <c r="B62" s="19" t="s">
        <v>432</v>
      </c>
      <c r="C62" s="38">
        <v>1</v>
      </c>
      <c r="D62" s="17">
        <v>3450</v>
      </c>
      <c r="E62" s="48">
        <v>3450</v>
      </c>
    </row>
    <row r="63" spans="1:5" x14ac:dyDescent="0.25">
      <c r="A63" s="15"/>
      <c r="B63" s="16" t="s">
        <v>433</v>
      </c>
      <c r="C63" s="37">
        <v>1</v>
      </c>
      <c r="D63" s="17">
        <v>2600</v>
      </c>
      <c r="E63" s="47">
        <f>C63*D63</f>
        <v>2600</v>
      </c>
    </row>
    <row r="64" spans="1:5" x14ac:dyDescent="0.25">
      <c r="A64" s="15">
        <v>5034220</v>
      </c>
      <c r="B64" s="16" t="s">
        <v>433</v>
      </c>
      <c r="C64" s="37">
        <v>1</v>
      </c>
      <c r="D64" s="17">
        <v>2600</v>
      </c>
      <c r="E64" s="53">
        <v>2600</v>
      </c>
    </row>
    <row r="65" spans="1:5" x14ac:dyDescent="0.25">
      <c r="A65" s="15"/>
      <c r="B65" s="20" t="s">
        <v>434</v>
      </c>
      <c r="C65" s="39">
        <v>3</v>
      </c>
      <c r="D65" s="17">
        <v>2640</v>
      </c>
      <c r="E65" s="49">
        <v>7920</v>
      </c>
    </row>
    <row r="66" spans="1:5" x14ac:dyDescent="0.25">
      <c r="A66" s="29">
        <v>12662</v>
      </c>
      <c r="B66" s="16" t="s">
        <v>435</v>
      </c>
      <c r="C66" s="37">
        <v>1</v>
      </c>
      <c r="D66" s="17">
        <v>2640</v>
      </c>
      <c r="E66" s="50">
        <v>2640</v>
      </c>
    </row>
    <row r="67" spans="1:5" x14ac:dyDescent="0.25">
      <c r="A67" s="15"/>
      <c r="B67" s="16" t="s">
        <v>435</v>
      </c>
      <c r="C67" s="37">
        <v>6</v>
      </c>
      <c r="D67" s="17">
        <v>2640</v>
      </c>
      <c r="E67" s="51">
        <v>15840</v>
      </c>
    </row>
    <row r="68" spans="1:5" x14ac:dyDescent="0.25">
      <c r="A68" s="15"/>
      <c r="B68" s="16" t="s">
        <v>436</v>
      </c>
      <c r="C68" s="37">
        <v>1</v>
      </c>
      <c r="D68" s="17">
        <v>2640</v>
      </c>
      <c r="E68" s="51">
        <v>2640</v>
      </c>
    </row>
    <row r="69" spans="1:5" x14ac:dyDescent="0.25">
      <c r="A69" s="21">
        <v>2044699</v>
      </c>
      <c r="B69" s="16" t="s">
        <v>436</v>
      </c>
      <c r="C69" s="37">
        <v>3</v>
      </c>
      <c r="D69" s="17">
        <v>2640</v>
      </c>
      <c r="E69" s="50">
        <v>7920</v>
      </c>
    </row>
    <row r="70" spans="1:5" x14ac:dyDescent="0.25">
      <c r="A70" s="15"/>
      <c r="B70" s="16" t="s">
        <v>437</v>
      </c>
      <c r="C70" s="37">
        <v>1</v>
      </c>
      <c r="D70" s="17">
        <v>5640</v>
      </c>
      <c r="E70" s="47">
        <f>C70*D70</f>
        <v>5640</v>
      </c>
    </row>
    <row r="71" spans="1:5" x14ac:dyDescent="0.25">
      <c r="A71" s="15">
        <v>4159159</v>
      </c>
      <c r="B71" s="16" t="s">
        <v>437</v>
      </c>
      <c r="C71" s="37">
        <v>1</v>
      </c>
      <c r="D71" s="17">
        <v>5640</v>
      </c>
      <c r="E71" s="53">
        <v>5640</v>
      </c>
    </row>
    <row r="72" spans="1:5" x14ac:dyDescent="0.25">
      <c r="A72" s="15"/>
      <c r="B72" s="20" t="s">
        <v>438</v>
      </c>
      <c r="C72" s="39">
        <v>1</v>
      </c>
      <c r="D72" s="17">
        <v>7140</v>
      </c>
      <c r="E72" s="49">
        <v>7140</v>
      </c>
    </row>
    <row r="73" spans="1:5" x14ac:dyDescent="0.25">
      <c r="A73" s="15"/>
      <c r="B73" s="16" t="s">
        <v>439</v>
      </c>
      <c r="C73" s="37">
        <v>1</v>
      </c>
      <c r="D73" s="17">
        <v>10710</v>
      </c>
      <c r="E73" s="51">
        <v>10710</v>
      </c>
    </row>
    <row r="74" spans="1:5" x14ac:dyDescent="0.25">
      <c r="A74" s="22">
        <v>5983108</v>
      </c>
      <c r="B74" s="23" t="s">
        <v>440</v>
      </c>
      <c r="C74" s="40">
        <v>6</v>
      </c>
      <c r="D74" s="17">
        <v>990</v>
      </c>
      <c r="E74" s="52">
        <v>5940</v>
      </c>
    </row>
    <row r="75" spans="1:5" x14ac:dyDescent="0.25">
      <c r="A75" s="15"/>
      <c r="B75" s="16" t="s">
        <v>441</v>
      </c>
      <c r="C75" s="37">
        <v>8</v>
      </c>
      <c r="D75" s="17">
        <v>1290</v>
      </c>
      <c r="E75" s="51">
        <v>10320</v>
      </c>
    </row>
    <row r="76" spans="1:5" x14ac:dyDescent="0.25">
      <c r="A76" s="15"/>
      <c r="B76" s="16" t="s">
        <v>442</v>
      </c>
      <c r="C76" s="37">
        <v>10</v>
      </c>
      <c r="D76" s="17">
        <v>5200</v>
      </c>
      <c r="E76" s="47">
        <f>C76*D76</f>
        <v>52000</v>
      </c>
    </row>
    <row r="77" spans="1:5" x14ac:dyDescent="0.25">
      <c r="A77" s="18">
        <v>5540440</v>
      </c>
      <c r="B77" s="19" t="s">
        <v>442</v>
      </c>
      <c r="C77" s="38">
        <v>10</v>
      </c>
      <c r="D77" s="17">
        <v>520</v>
      </c>
      <c r="E77" s="48">
        <v>5200</v>
      </c>
    </row>
    <row r="78" spans="1:5" x14ac:dyDescent="0.25">
      <c r="A78" s="15"/>
      <c r="B78" s="16" t="s">
        <v>443</v>
      </c>
      <c r="C78" s="37">
        <v>10</v>
      </c>
      <c r="D78" s="17">
        <v>6200</v>
      </c>
      <c r="E78" s="47">
        <f>C78*D78</f>
        <v>62000</v>
      </c>
    </row>
    <row r="79" spans="1:5" x14ac:dyDescent="0.25">
      <c r="A79" s="15">
        <v>4970519</v>
      </c>
      <c r="B79" s="16" t="s">
        <v>443</v>
      </c>
      <c r="C79" s="37">
        <v>10</v>
      </c>
      <c r="D79" s="17">
        <v>620</v>
      </c>
      <c r="E79" s="53">
        <v>6200</v>
      </c>
    </row>
    <row r="80" spans="1:5" x14ac:dyDescent="0.25">
      <c r="A80" s="15">
        <v>4245609</v>
      </c>
      <c r="B80" s="16" t="s">
        <v>444</v>
      </c>
      <c r="C80" s="37">
        <v>3</v>
      </c>
      <c r="D80" s="17">
        <v>670</v>
      </c>
      <c r="E80" s="47">
        <f>C80*D80</f>
        <v>2010</v>
      </c>
    </row>
    <row r="81" spans="1:5" x14ac:dyDescent="0.25">
      <c r="A81" s="15">
        <v>4245616</v>
      </c>
      <c r="B81" s="16" t="s">
        <v>445</v>
      </c>
      <c r="C81" s="37">
        <v>3</v>
      </c>
      <c r="D81" s="17">
        <v>640</v>
      </c>
      <c r="E81" s="47">
        <f>C81*D81</f>
        <v>1920</v>
      </c>
    </row>
    <row r="82" spans="1:5" x14ac:dyDescent="0.25">
      <c r="A82" s="15"/>
      <c r="B82" s="16" t="s">
        <v>446</v>
      </c>
      <c r="C82" s="37">
        <v>1</v>
      </c>
      <c r="D82" s="17">
        <v>1560</v>
      </c>
      <c r="E82" s="47">
        <f>C82*D82</f>
        <v>1560</v>
      </c>
    </row>
    <row r="83" spans="1:5" x14ac:dyDescent="0.25">
      <c r="A83" s="18">
        <v>2026951</v>
      </c>
      <c r="B83" s="19" t="s">
        <v>446</v>
      </c>
      <c r="C83" s="38">
        <v>1</v>
      </c>
      <c r="D83" s="17">
        <v>1560</v>
      </c>
      <c r="E83" s="48">
        <v>1560</v>
      </c>
    </row>
    <row r="84" spans="1:5" x14ac:dyDescent="0.25">
      <c r="A84" s="15"/>
      <c r="B84" s="16" t="s">
        <v>447</v>
      </c>
      <c r="C84" s="37">
        <v>1</v>
      </c>
      <c r="D84" s="17">
        <v>1560</v>
      </c>
      <c r="E84" s="47">
        <f>C84*D84</f>
        <v>1560</v>
      </c>
    </row>
    <row r="85" spans="1:5" x14ac:dyDescent="0.25">
      <c r="A85" s="15">
        <v>2026968</v>
      </c>
      <c r="B85" s="16" t="s">
        <v>447</v>
      </c>
      <c r="C85" s="37">
        <v>1</v>
      </c>
      <c r="D85" s="17">
        <v>1560</v>
      </c>
      <c r="E85" s="53">
        <v>1560</v>
      </c>
    </row>
    <row r="86" spans="1:5" x14ac:dyDescent="0.25">
      <c r="A86" s="15"/>
      <c r="B86" s="16" t="s">
        <v>448</v>
      </c>
      <c r="C86" s="37">
        <v>1</v>
      </c>
      <c r="D86" s="17">
        <v>1560</v>
      </c>
      <c r="E86" s="47">
        <f>C86*D86</f>
        <v>1560</v>
      </c>
    </row>
    <row r="87" spans="1:5" x14ac:dyDescent="0.25">
      <c r="A87" s="15">
        <v>2026982</v>
      </c>
      <c r="B87" s="16" t="s">
        <v>448</v>
      </c>
      <c r="C87" s="37">
        <v>1</v>
      </c>
      <c r="D87" s="17">
        <v>1560</v>
      </c>
      <c r="E87" s="58">
        <v>1560</v>
      </c>
    </row>
    <row r="88" spans="1:5" x14ac:dyDescent="0.25">
      <c r="A88" s="15"/>
      <c r="B88" s="16" t="s">
        <v>449</v>
      </c>
      <c r="C88" s="37">
        <v>1</v>
      </c>
      <c r="D88" s="17">
        <v>1560</v>
      </c>
      <c r="E88" s="47">
        <f>C88*D88</f>
        <v>1560</v>
      </c>
    </row>
    <row r="89" spans="1:5" x14ac:dyDescent="0.25">
      <c r="A89" s="15">
        <v>2027040</v>
      </c>
      <c r="B89" s="16" t="s">
        <v>449</v>
      </c>
      <c r="C89" s="37">
        <v>1</v>
      </c>
      <c r="D89" s="17">
        <v>1560</v>
      </c>
      <c r="E89" s="53">
        <v>1560</v>
      </c>
    </row>
    <row r="90" spans="1:5" x14ac:dyDescent="0.25">
      <c r="A90" s="15"/>
      <c r="B90" s="16" t="s">
        <v>450</v>
      </c>
      <c r="C90" s="37">
        <v>1</v>
      </c>
      <c r="D90" s="17">
        <v>1560</v>
      </c>
      <c r="E90" s="47">
        <f>C90*D90</f>
        <v>1560</v>
      </c>
    </row>
    <row r="91" spans="1:5" x14ac:dyDescent="0.25">
      <c r="A91" s="18">
        <v>2027064</v>
      </c>
      <c r="B91" s="19" t="s">
        <v>450</v>
      </c>
      <c r="C91" s="38">
        <v>1</v>
      </c>
      <c r="D91" s="17">
        <v>1560</v>
      </c>
      <c r="E91" s="48">
        <v>1560</v>
      </c>
    </row>
    <row r="92" spans="1:5" x14ac:dyDescent="0.25">
      <c r="A92" s="15"/>
      <c r="B92" s="16" t="s">
        <v>451</v>
      </c>
      <c r="C92" s="37">
        <v>10</v>
      </c>
      <c r="D92" s="17">
        <v>2500</v>
      </c>
      <c r="E92" s="47">
        <f>C92*D92</f>
        <v>25000</v>
      </c>
    </row>
    <row r="93" spans="1:5" x14ac:dyDescent="0.25">
      <c r="A93" s="18">
        <v>7302369</v>
      </c>
      <c r="B93" s="19" t="s">
        <v>451</v>
      </c>
      <c r="C93" s="38">
        <v>10</v>
      </c>
      <c r="D93" s="17">
        <v>250</v>
      </c>
      <c r="E93" s="48">
        <v>2500</v>
      </c>
    </row>
    <row r="94" spans="1:5" x14ac:dyDescent="0.25">
      <c r="A94" s="24">
        <v>2027262</v>
      </c>
      <c r="B94" s="25" t="s">
        <v>452</v>
      </c>
      <c r="C94" s="41">
        <v>1</v>
      </c>
      <c r="D94" s="17">
        <v>1850</v>
      </c>
      <c r="E94" s="54">
        <v>1850</v>
      </c>
    </row>
    <row r="95" spans="1:5" x14ac:dyDescent="0.25">
      <c r="A95" s="15"/>
      <c r="B95" s="16" t="s">
        <v>452</v>
      </c>
      <c r="C95" s="37">
        <v>3</v>
      </c>
      <c r="D95" s="17">
        <v>5550</v>
      </c>
      <c r="E95" s="47">
        <f>C95*D95</f>
        <v>16650</v>
      </c>
    </row>
    <row r="96" spans="1:5" x14ac:dyDescent="0.25">
      <c r="A96" s="18">
        <v>2027262</v>
      </c>
      <c r="B96" s="19" t="s">
        <v>452</v>
      </c>
      <c r="C96" s="38">
        <v>3</v>
      </c>
      <c r="D96" s="17">
        <v>1850</v>
      </c>
      <c r="E96" s="48">
        <v>5550</v>
      </c>
    </row>
    <row r="97" spans="1:5" x14ac:dyDescent="0.25">
      <c r="A97" s="15"/>
      <c r="B97" s="16" t="s">
        <v>453</v>
      </c>
      <c r="C97" s="37">
        <v>3</v>
      </c>
      <c r="D97" s="17">
        <v>5220</v>
      </c>
      <c r="E97" s="47">
        <f>C97*D97</f>
        <v>15660</v>
      </c>
    </row>
    <row r="98" spans="1:5" x14ac:dyDescent="0.25">
      <c r="A98" s="15">
        <v>2027101</v>
      </c>
      <c r="B98" s="16" t="s">
        <v>453</v>
      </c>
      <c r="C98" s="37">
        <v>3</v>
      </c>
      <c r="D98" s="17">
        <v>1740</v>
      </c>
      <c r="E98" s="53">
        <v>5220</v>
      </c>
    </row>
    <row r="99" spans="1:5" x14ac:dyDescent="0.25">
      <c r="A99" s="15"/>
      <c r="B99" s="26" t="s">
        <v>454</v>
      </c>
      <c r="C99" s="42">
        <v>2</v>
      </c>
      <c r="D99" s="17">
        <v>2600</v>
      </c>
      <c r="E99" s="55">
        <v>5200</v>
      </c>
    </row>
    <row r="100" spans="1:5" x14ac:dyDescent="0.25">
      <c r="A100" s="15">
        <v>4159149</v>
      </c>
      <c r="B100" s="26" t="s">
        <v>455</v>
      </c>
      <c r="C100" s="42">
        <v>2</v>
      </c>
      <c r="D100" s="17">
        <v>2600</v>
      </c>
      <c r="E100" s="56">
        <v>5200</v>
      </c>
    </row>
    <row r="101" spans="1:5" x14ac:dyDescent="0.25">
      <c r="A101" s="21">
        <v>5704005</v>
      </c>
      <c r="B101" s="16" t="s">
        <v>456</v>
      </c>
      <c r="C101" s="37">
        <v>1</v>
      </c>
      <c r="D101" s="17">
        <v>2670</v>
      </c>
      <c r="E101" s="50">
        <v>2670</v>
      </c>
    </row>
    <row r="102" spans="1:5" x14ac:dyDescent="0.25">
      <c r="A102" s="15">
        <v>283744</v>
      </c>
      <c r="B102" s="16" t="s">
        <v>457</v>
      </c>
      <c r="C102" s="37">
        <v>5</v>
      </c>
      <c r="D102" s="17">
        <v>420</v>
      </c>
      <c r="E102" s="47">
        <f>C102*D102</f>
        <v>2100</v>
      </c>
    </row>
    <row r="103" spans="1:5" x14ac:dyDescent="0.25">
      <c r="A103" s="29">
        <v>41189</v>
      </c>
      <c r="B103" s="16" t="s">
        <v>458</v>
      </c>
      <c r="C103" s="37">
        <v>3</v>
      </c>
      <c r="D103" s="17">
        <v>530</v>
      </c>
      <c r="E103" s="50">
        <v>1590</v>
      </c>
    </row>
    <row r="104" spans="1:5" x14ac:dyDescent="0.25">
      <c r="A104" s="29">
        <v>41196</v>
      </c>
      <c r="B104" s="16" t="s">
        <v>459</v>
      </c>
      <c r="C104" s="37">
        <v>3</v>
      </c>
      <c r="D104" s="17">
        <v>530</v>
      </c>
      <c r="E104" s="50">
        <v>1590</v>
      </c>
    </row>
    <row r="105" spans="1:5" x14ac:dyDescent="0.25">
      <c r="A105" s="29">
        <v>41202</v>
      </c>
      <c r="B105" s="16" t="s">
        <v>460</v>
      </c>
      <c r="C105" s="37">
        <v>3</v>
      </c>
      <c r="D105" s="17">
        <v>530</v>
      </c>
      <c r="E105" s="50">
        <v>1590</v>
      </c>
    </row>
    <row r="106" spans="1:5" x14ac:dyDescent="0.25">
      <c r="A106" s="29">
        <v>41172</v>
      </c>
      <c r="B106" s="16" t="s">
        <v>461</v>
      </c>
      <c r="C106" s="37">
        <v>3</v>
      </c>
      <c r="D106" s="17">
        <v>530</v>
      </c>
      <c r="E106" s="50">
        <v>1590</v>
      </c>
    </row>
    <row r="107" spans="1:5" x14ac:dyDescent="0.25">
      <c r="A107" s="29">
        <v>41370</v>
      </c>
      <c r="B107" s="16" t="s">
        <v>462</v>
      </c>
      <c r="C107" s="37">
        <v>3</v>
      </c>
      <c r="D107" s="17">
        <v>530</v>
      </c>
      <c r="E107" s="50">
        <v>1590</v>
      </c>
    </row>
    <row r="108" spans="1:5" x14ac:dyDescent="0.25">
      <c r="A108" s="29">
        <v>41141</v>
      </c>
      <c r="B108" s="16" t="s">
        <v>463</v>
      </c>
      <c r="C108" s="37">
        <v>3</v>
      </c>
      <c r="D108" s="17">
        <v>530</v>
      </c>
      <c r="E108" s="50">
        <v>1590</v>
      </c>
    </row>
    <row r="109" spans="1:5" x14ac:dyDescent="0.25">
      <c r="A109" s="29">
        <v>41165</v>
      </c>
      <c r="B109" s="16" t="s">
        <v>464</v>
      </c>
      <c r="C109" s="37">
        <v>3</v>
      </c>
      <c r="D109" s="17">
        <v>530</v>
      </c>
      <c r="E109" s="50">
        <v>1590</v>
      </c>
    </row>
    <row r="110" spans="1:5" x14ac:dyDescent="0.25">
      <c r="A110" s="29">
        <v>41387</v>
      </c>
      <c r="B110" s="16" t="s">
        <v>465</v>
      </c>
      <c r="C110" s="37">
        <v>3</v>
      </c>
      <c r="D110" s="17">
        <v>530</v>
      </c>
      <c r="E110" s="50">
        <v>1590</v>
      </c>
    </row>
    <row r="111" spans="1:5" x14ac:dyDescent="0.25">
      <c r="A111" s="29">
        <v>41127</v>
      </c>
      <c r="B111" s="16" t="s">
        <v>466</v>
      </c>
      <c r="C111" s="37">
        <v>3</v>
      </c>
      <c r="D111" s="17">
        <v>530</v>
      </c>
      <c r="E111" s="50">
        <v>1590</v>
      </c>
    </row>
    <row r="112" spans="1:5" x14ac:dyDescent="0.25">
      <c r="A112" s="29">
        <v>82571</v>
      </c>
      <c r="B112" s="16" t="s">
        <v>467</v>
      </c>
      <c r="C112" s="37">
        <v>3</v>
      </c>
      <c r="D112" s="17">
        <v>530</v>
      </c>
      <c r="E112" s="50">
        <v>1590</v>
      </c>
    </row>
    <row r="113" spans="1:5" x14ac:dyDescent="0.25">
      <c r="A113" s="29">
        <v>48935</v>
      </c>
      <c r="B113" s="16" t="s">
        <v>468</v>
      </c>
      <c r="C113" s="37">
        <v>3</v>
      </c>
      <c r="D113" s="17">
        <v>530</v>
      </c>
      <c r="E113" s="50">
        <v>1590</v>
      </c>
    </row>
    <row r="114" spans="1:5" x14ac:dyDescent="0.25">
      <c r="A114" s="29">
        <v>48928</v>
      </c>
      <c r="B114" s="16" t="s">
        <v>469</v>
      </c>
      <c r="C114" s="37">
        <v>3</v>
      </c>
      <c r="D114" s="17">
        <v>530</v>
      </c>
      <c r="E114" s="50">
        <v>1590</v>
      </c>
    </row>
    <row r="115" spans="1:5" x14ac:dyDescent="0.25">
      <c r="A115" s="15">
        <v>4328739</v>
      </c>
      <c r="B115" s="16" t="s">
        <v>470</v>
      </c>
      <c r="C115" s="37">
        <v>1</v>
      </c>
      <c r="D115" s="17">
        <v>3130</v>
      </c>
      <c r="E115" s="53">
        <v>3130</v>
      </c>
    </row>
    <row r="116" spans="1:5" x14ac:dyDescent="0.25">
      <c r="A116" s="15"/>
      <c r="B116" s="16" t="s">
        <v>471</v>
      </c>
      <c r="C116" s="37">
        <v>2</v>
      </c>
      <c r="D116" s="17">
        <v>2030</v>
      </c>
      <c r="E116" s="51">
        <v>4060</v>
      </c>
    </row>
    <row r="117" spans="1:5" x14ac:dyDescent="0.25">
      <c r="A117" s="21">
        <v>4489798</v>
      </c>
      <c r="B117" s="16" t="s">
        <v>471</v>
      </c>
      <c r="C117" s="37">
        <v>4</v>
      </c>
      <c r="D117" s="17">
        <v>2030</v>
      </c>
      <c r="E117" s="50">
        <v>8120</v>
      </c>
    </row>
    <row r="118" spans="1:5" x14ac:dyDescent="0.25">
      <c r="A118" s="15">
        <v>8123353</v>
      </c>
      <c r="B118" s="16" t="s">
        <v>472</v>
      </c>
      <c r="C118" s="37">
        <v>6</v>
      </c>
      <c r="D118" s="17">
        <v>1180</v>
      </c>
      <c r="E118" s="47">
        <f>C118*D118</f>
        <v>7080</v>
      </c>
    </row>
    <row r="119" spans="1:5" x14ac:dyDescent="0.25">
      <c r="A119" s="15"/>
      <c r="B119" s="26" t="s">
        <v>473</v>
      </c>
      <c r="C119" s="42">
        <v>15</v>
      </c>
      <c r="D119" s="17">
        <v>1000</v>
      </c>
      <c r="E119" s="55">
        <v>15000</v>
      </c>
    </row>
    <row r="120" spans="1:5" x14ac:dyDescent="0.25">
      <c r="A120" s="15">
        <v>5008122</v>
      </c>
      <c r="B120" s="26" t="s">
        <v>473</v>
      </c>
      <c r="C120" s="42">
        <v>15</v>
      </c>
      <c r="D120" s="17">
        <v>1000</v>
      </c>
      <c r="E120" s="56">
        <v>15000</v>
      </c>
    </row>
    <row r="121" spans="1:5" x14ac:dyDescent="0.25">
      <c r="A121" s="15">
        <v>5009907</v>
      </c>
      <c r="B121" s="16" t="s">
        <v>474</v>
      </c>
      <c r="C121" s="37">
        <v>4</v>
      </c>
      <c r="D121" s="17">
        <v>1510</v>
      </c>
      <c r="E121" s="47">
        <f>C121*D121</f>
        <v>6040</v>
      </c>
    </row>
    <row r="122" spans="1:5" x14ac:dyDescent="0.25">
      <c r="A122" s="15"/>
      <c r="B122" s="27" t="s">
        <v>475</v>
      </c>
      <c r="C122" s="43">
        <v>6</v>
      </c>
      <c r="D122" s="17">
        <v>1400</v>
      </c>
      <c r="E122" s="57">
        <v>8400</v>
      </c>
    </row>
    <row r="123" spans="1:5" x14ac:dyDescent="0.25">
      <c r="A123" s="15">
        <v>5009228</v>
      </c>
      <c r="B123" s="26" t="s">
        <v>475</v>
      </c>
      <c r="C123" s="42">
        <v>6</v>
      </c>
      <c r="D123" s="17">
        <v>1400</v>
      </c>
      <c r="E123" s="56">
        <v>8400</v>
      </c>
    </row>
    <row r="124" spans="1:5" x14ac:dyDescent="0.25">
      <c r="A124" s="15"/>
      <c r="B124" s="26" t="s">
        <v>476</v>
      </c>
      <c r="C124" s="42">
        <v>5</v>
      </c>
      <c r="D124" s="17">
        <v>1200</v>
      </c>
      <c r="E124" s="55">
        <v>6000</v>
      </c>
    </row>
    <row r="125" spans="1:5" x14ac:dyDescent="0.25">
      <c r="A125" s="15">
        <v>5009242</v>
      </c>
      <c r="B125" s="26" t="s">
        <v>477</v>
      </c>
      <c r="C125" s="42">
        <v>5</v>
      </c>
      <c r="D125" s="17">
        <v>1200</v>
      </c>
      <c r="E125" s="56">
        <v>6000</v>
      </c>
    </row>
    <row r="126" spans="1:5" x14ac:dyDescent="0.25">
      <c r="A126" s="15"/>
      <c r="B126" s="27" t="s">
        <v>478</v>
      </c>
      <c r="C126" s="43">
        <v>4</v>
      </c>
      <c r="D126" s="17">
        <v>1310</v>
      </c>
      <c r="E126" s="57">
        <v>5240</v>
      </c>
    </row>
    <row r="127" spans="1:5" x14ac:dyDescent="0.25">
      <c r="A127" s="15">
        <v>4490023</v>
      </c>
      <c r="B127" s="26" t="s">
        <v>478</v>
      </c>
      <c r="C127" s="42">
        <v>4</v>
      </c>
      <c r="D127" s="17">
        <v>1310</v>
      </c>
      <c r="E127" s="56">
        <v>5240</v>
      </c>
    </row>
    <row r="128" spans="1:5" x14ac:dyDescent="0.25">
      <c r="A128" s="15">
        <v>4695671</v>
      </c>
      <c r="B128" s="16" t="s">
        <v>479</v>
      </c>
      <c r="C128" s="37">
        <v>1</v>
      </c>
      <c r="D128" s="17">
        <v>7140</v>
      </c>
      <c r="E128" s="47">
        <f>C128*D128</f>
        <v>7140</v>
      </c>
    </row>
    <row r="129" spans="1:5" x14ac:dyDescent="0.25">
      <c r="A129" s="30">
        <v>4474610</v>
      </c>
      <c r="B129" s="31" t="s">
        <v>480</v>
      </c>
      <c r="C129" s="44">
        <v>2</v>
      </c>
      <c r="D129" s="17">
        <v>3910</v>
      </c>
      <c r="E129" s="59">
        <v>7820</v>
      </c>
    </row>
    <row r="130" spans="1:5" x14ac:dyDescent="0.25">
      <c r="A130" s="15">
        <v>4474603</v>
      </c>
      <c r="B130" s="16" t="s">
        <v>481</v>
      </c>
      <c r="C130" s="37">
        <v>2</v>
      </c>
      <c r="D130" s="17">
        <v>3910</v>
      </c>
      <c r="E130" s="53">
        <v>7820</v>
      </c>
    </row>
    <row r="131" spans="1:5" x14ac:dyDescent="0.25">
      <c r="A131" s="30">
        <v>4474580</v>
      </c>
      <c r="B131" s="31" t="s">
        <v>482</v>
      </c>
      <c r="C131" s="44">
        <v>3</v>
      </c>
      <c r="D131" s="17">
        <v>1370</v>
      </c>
      <c r="E131" s="59">
        <v>4110</v>
      </c>
    </row>
    <row r="132" spans="1:5" x14ac:dyDescent="0.25">
      <c r="A132" s="15">
        <v>4587426</v>
      </c>
      <c r="B132" s="16" t="s">
        <v>483</v>
      </c>
      <c r="C132" s="37">
        <v>2</v>
      </c>
      <c r="D132" s="17">
        <v>2660</v>
      </c>
      <c r="E132" s="53">
        <v>5320</v>
      </c>
    </row>
    <row r="133" spans="1:5" x14ac:dyDescent="0.25">
      <c r="A133" s="30">
        <v>6361082</v>
      </c>
      <c r="B133" s="31" t="s">
        <v>484</v>
      </c>
      <c r="C133" s="44">
        <v>2</v>
      </c>
      <c r="D133" s="17">
        <v>5480</v>
      </c>
      <c r="E133" s="59">
        <v>10960</v>
      </c>
    </row>
    <row r="134" spans="1:5" x14ac:dyDescent="0.25">
      <c r="A134" s="15"/>
      <c r="B134" s="16" t="s">
        <v>485</v>
      </c>
      <c r="C134" s="37">
        <v>1</v>
      </c>
      <c r="D134" s="17">
        <v>5480</v>
      </c>
      <c r="E134" s="51">
        <v>5480</v>
      </c>
    </row>
    <row r="135" spans="1:5" x14ac:dyDescent="0.25">
      <c r="A135" s="21">
        <v>4491044</v>
      </c>
      <c r="B135" s="16" t="s">
        <v>485</v>
      </c>
      <c r="C135" s="37">
        <v>2</v>
      </c>
      <c r="D135" s="17">
        <v>5480</v>
      </c>
      <c r="E135" s="50">
        <v>10960</v>
      </c>
    </row>
    <row r="136" spans="1:5" x14ac:dyDescent="0.25">
      <c r="A136" s="15"/>
      <c r="B136" s="16" t="s">
        <v>486</v>
      </c>
      <c r="C136" s="37">
        <v>1</v>
      </c>
      <c r="D136" s="17">
        <v>11500</v>
      </c>
      <c r="E136" s="51">
        <v>11500</v>
      </c>
    </row>
    <row r="137" spans="1:5" x14ac:dyDescent="0.25">
      <c r="A137" s="22">
        <v>7563003</v>
      </c>
      <c r="B137" s="23" t="s">
        <v>487</v>
      </c>
      <c r="C137" s="40">
        <v>10</v>
      </c>
      <c r="D137" s="17">
        <v>125</v>
      </c>
      <c r="E137" s="52">
        <v>1250</v>
      </c>
    </row>
    <row r="138" spans="1:5" x14ac:dyDescent="0.25">
      <c r="A138" s="24">
        <v>7564000</v>
      </c>
      <c r="B138" s="25" t="s">
        <v>488</v>
      </c>
      <c r="C138" s="41">
        <v>10</v>
      </c>
      <c r="D138" s="17">
        <v>180</v>
      </c>
      <c r="E138" s="54">
        <v>1800</v>
      </c>
    </row>
    <row r="139" spans="1:5" x14ac:dyDescent="0.25">
      <c r="A139" s="24">
        <v>3771408</v>
      </c>
      <c r="B139" s="25" t="s">
        <v>489</v>
      </c>
      <c r="C139" s="41">
        <v>6</v>
      </c>
      <c r="D139" s="17">
        <v>340</v>
      </c>
      <c r="E139" s="54">
        <v>2040</v>
      </c>
    </row>
    <row r="140" spans="1:5" x14ac:dyDescent="0.25">
      <c r="A140" s="15" t="s">
        <v>490</v>
      </c>
      <c r="B140" s="16" t="s">
        <v>491</v>
      </c>
      <c r="C140" s="37">
        <v>1</v>
      </c>
      <c r="D140" s="17">
        <v>50000</v>
      </c>
      <c r="E140" s="47">
        <f>C140*D140</f>
        <v>50000</v>
      </c>
    </row>
    <row r="141" spans="1:5" x14ac:dyDescent="0.25">
      <c r="A141" s="21">
        <v>8801517</v>
      </c>
      <c r="B141" s="16" t="s">
        <v>492</v>
      </c>
      <c r="C141" s="37">
        <v>1</v>
      </c>
      <c r="D141" s="17">
        <v>8490</v>
      </c>
      <c r="E141" s="50">
        <v>8490</v>
      </c>
    </row>
    <row r="142" spans="1:5" x14ac:dyDescent="0.25">
      <c r="A142" s="15"/>
      <c r="B142" s="20" t="s">
        <v>492</v>
      </c>
      <c r="C142" s="39">
        <v>1</v>
      </c>
      <c r="D142" s="17">
        <v>8490</v>
      </c>
      <c r="E142" s="49">
        <v>8490</v>
      </c>
    </row>
    <row r="143" spans="1:5" x14ac:dyDescent="0.25">
      <c r="A143" s="21">
        <v>5050510</v>
      </c>
      <c r="B143" s="16" t="s">
        <v>493</v>
      </c>
      <c r="C143" s="37">
        <v>2</v>
      </c>
      <c r="D143" s="17">
        <v>1490</v>
      </c>
      <c r="E143" s="50">
        <v>2980</v>
      </c>
    </row>
    <row r="144" spans="1:5" x14ac:dyDescent="0.25">
      <c r="A144" s="15"/>
      <c r="B144" s="16" t="s">
        <v>494</v>
      </c>
      <c r="C144" s="37">
        <v>1</v>
      </c>
      <c r="D144" s="17">
        <v>5450</v>
      </c>
      <c r="E144" s="47">
        <f>C144*D144</f>
        <v>5450</v>
      </c>
    </row>
    <row r="145" spans="1:5" x14ac:dyDescent="0.25">
      <c r="A145" s="18">
        <v>5054037</v>
      </c>
      <c r="B145" s="19" t="s">
        <v>494</v>
      </c>
      <c r="C145" s="38">
        <v>1</v>
      </c>
      <c r="D145" s="17">
        <v>5450</v>
      </c>
      <c r="E145" s="48">
        <v>5450</v>
      </c>
    </row>
    <row r="146" spans="1:5" x14ac:dyDescent="0.25">
      <c r="A146" s="15"/>
      <c r="B146" s="26" t="s">
        <v>494</v>
      </c>
      <c r="C146" s="42">
        <v>2</v>
      </c>
      <c r="D146" s="17">
        <v>5450</v>
      </c>
      <c r="E146" s="55">
        <v>10900</v>
      </c>
    </row>
    <row r="147" spans="1:5" x14ac:dyDescent="0.25">
      <c r="A147" s="15">
        <v>5054037</v>
      </c>
      <c r="B147" s="26" t="s">
        <v>494</v>
      </c>
      <c r="C147" s="42">
        <v>2</v>
      </c>
      <c r="D147" s="17">
        <v>5450</v>
      </c>
      <c r="E147" s="56">
        <v>10900</v>
      </c>
    </row>
    <row r="148" spans="1:5" x14ac:dyDescent="0.25">
      <c r="A148" s="15"/>
      <c r="B148" s="16" t="s">
        <v>495</v>
      </c>
      <c r="C148" s="37">
        <v>1</v>
      </c>
      <c r="D148" s="17">
        <v>9540</v>
      </c>
      <c r="E148" s="47">
        <f>C148*D148</f>
        <v>9540</v>
      </c>
    </row>
    <row r="149" spans="1:5" x14ac:dyDescent="0.25">
      <c r="A149" s="15">
        <v>5017872</v>
      </c>
      <c r="B149" s="16" t="s">
        <v>495</v>
      </c>
      <c r="C149" s="37">
        <v>1</v>
      </c>
      <c r="D149" s="17">
        <v>9540</v>
      </c>
      <c r="E149" s="53">
        <v>9540</v>
      </c>
    </row>
    <row r="150" spans="1:5" x14ac:dyDescent="0.25">
      <c r="A150" s="15"/>
      <c r="B150" s="16" t="s">
        <v>496</v>
      </c>
      <c r="C150" s="37">
        <v>1</v>
      </c>
      <c r="D150" s="17">
        <v>13100</v>
      </c>
      <c r="E150" s="47">
        <f>C150*D150</f>
        <v>13100</v>
      </c>
    </row>
    <row r="151" spans="1:5" x14ac:dyDescent="0.25">
      <c r="A151" s="18">
        <v>7813420</v>
      </c>
      <c r="B151" s="19" t="s">
        <v>496</v>
      </c>
      <c r="C151" s="38">
        <v>1</v>
      </c>
      <c r="D151" s="17">
        <v>13100</v>
      </c>
      <c r="E151" s="48">
        <v>13100</v>
      </c>
    </row>
    <row r="152" spans="1:5" x14ac:dyDescent="0.25">
      <c r="A152" s="15">
        <v>7691793</v>
      </c>
      <c r="B152" s="16" t="s">
        <v>497</v>
      </c>
      <c r="C152" s="37">
        <v>1</v>
      </c>
      <c r="D152" s="17">
        <v>1510</v>
      </c>
      <c r="E152" s="50">
        <f>C152*D152</f>
        <v>1510</v>
      </c>
    </row>
    <row r="153" spans="1:5" x14ac:dyDescent="0.25">
      <c r="A153" s="15">
        <v>6867790</v>
      </c>
      <c r="B153" s="16" t="s">
        <v>498</v>
      </c>
      <c r="C153" s="37">
        <v>2</v>
      </c>
      <c r="D153" s="17">
        <v>1460</v>
      </c>
      <c r="E153" s="47">
        <f>C153*D153</f>
        <v>2920</v>
      </c>
    </row>
    <row r="154" spans="1:5" x14ac:dyDescent="0.25">
      <c r="A154" s="15">
        <v>3971977</v>
      </c>
      <c r="B154" s="16" t="s">
        <v>499</v>
      </c>
      <c r="C154" s="37">
        <v>1</v>
      </c>
      <c r="D154" s="17">
        <v>1500</v>
      </c>
      <c r="E154" s="50">
        <f>C154*D154</f>
        <v>1500</v>
      </c>
    </row>
    <row r="155" spans="1:5" x14ac:dyDescent="0.25">
      <c r="A155" s="15">
        <v>5433033</v>
      </c>
      <c r="B155" s="16" t="s">
        <v>500</v>
      </c>
      <c r="C155" s="37">
        <v>2</v>
      </c>
      <c r="D155" s="17">
        <v>1740</v>
      </c>
      <c r="E155" s="50">
        <f>C155*D155</f>
        <v>3480</v>
      </c>
    </row>
    <row r="156" spans="1:5" x14ac:dyDescent="0.25">
      <c r="A156" s="15">
        <v>6376096</v>
      </c>
      <c r="B156" s="16" t="s">
        <v>501</v>
      </c>
      <c r="C156" s="37">
        <v>2</v>
      </c>
      <c r="D156" s="17">
        <v>1560</v>
      </c>
      <c r="E156" s="53">
        <v>3120</v>
      </c>
    </row>
    <row r="157" spans="1:5" x14ac:dyDescent="0.25">
      <c r="A157" s="15">
        <v>3091631</v>
      </c>
      <c r="B157" s="16" t="s">
        <v>502</v>
      </c>
      <c r="C157" s="37">
        <v>1</v>
      </c>
      <c r="D157" s="17">
        <v>2030</v>
      </c>
      <c r="E157" s="53">
        <v>2030</v>
      </c>
    </row>
    <row r="158" spans="1:5" x14ac:dyDescent="0.25">
      <c r="A158" s="15">
        <v>9437842</v>
      </c>
      <c r="B158" s="16" t="s">
        <v>503</v>
      </c>
      <c r="C158" s="37">
        <v>1</v>
      </c>
      <c r="D158" s="17">
        <v>2160</v>
      </c>
      <c r="E158" s="53">
        <v>2160</v>
      </c>
    </row>
    <row r="159" spans="1:5" x14ac:dyDescent="0.25">
      <c r="A159" s="30">
        <v>2611927</v>
      </c>
      <c r="B159" s="31" t="s">
        <v>504</v>
      </c>
      <c r="C159" s="44">
        <v>1</v>
      </c>
      <c r="D159" s="17">
        <v>2060</v>
      </c>
      <c r="E159" s="59">
        <v>2060</v>
      </c>
    </row>
    <row r="160" spans="1:5" x14ac:dyDescent="0.25">
      <c r="A160" s="15">
        <v>5012914</v>
      </c>
      <c r="B160" s="16" t="s">
        <v>505</v>
      </c>
      <c r="C160" s="37">
        <v>1</v>
      </c>
      <c r="D160" s="17">
        <v>2240</v>
      </c>
      <c r="E160" s="53">
        <v>2240</v>
      </c>
    </row>
    <row r="161" spans="1:5" x14ac:dyDescent="0.25">
      <c r="A161" s="15">
        <v>8776600</v>
      </c>
      <c r="B161" s="16" t="s">
        <v>506</v>
      </c>
      <c r="C161" s="37">
        <v>1</v>
      </c>
      <c r="D161" s="17">
        <v>1790</v>
      </c>
      <c r="E161" s="50">
        <f>C161*D161</f>
        <v>1790</v>
      </c>
    </row>
    <row r="162" spans="1:5" x14ac:dyDescent="0.25">
      <c r="A162" s="15">
        <v>9614034</v>
      </c>
      <c r="B162" s="16" t="s">
        <v>507</v>
      </c>
      <c r="C162" s="37">
        <v>1</v>
      </c>
      <c r="D162" s="17">
        <v>1890</v>
      </c>
      <c r="E162" s="53">
        <v>1890</v>
      </c>
    </row>
    <row r="163" spans="1:5" x14ac:dyDescent="0.25">
      <c r="A163" s="30">
        <v>1590172</v>
      </c>
      <c r="B163" s="31" t="s">
        <v>508</v>
      </c>
      <c r="C163" s="44">
        <v>1</v>
      </c>
      <c r="D163" s="17">
        <v>2360</v>
      </c>
      <c r="E163" s="59">
        <v>2360</v>
      </c>
    </row>
    <row r="164" spans="1:5" x14ac:dyDescent="0.25">
      <c r="A164" s="30">
        <v>7533306</v>
      </c>
      <c r="B164" s="31" t="s">
        <v>509</v>
      </c>
      <c r="C164" s="44">
        <v>1</v>
      </c>
      <c r="D164" s="17">
        <v>1980</v>
      </c>
      <c r="E164" s="59">
        <v>1980</v>
      </c>
    </row>
    <row r="165" spans="1:5" x14ac:dyDescent="0.25">
      <c r="A165" s="30">
        <v>7900173</v>
      </c>
      <c r="B165" s="31" t="s">
        <v>510</v>
      </c>
      <c r="C165" s="44">
        <v>1</v>
      </c>
      <c r="D165" s="17">
        <v>2170</v>
      </c>
      <c r="E165" s="59">
        <v>2170</v>
      </c>
    </row>
    <row r="166" spans="1:5" x14ac:dyDescent="0.25">
      <c r="A166" s="15">
        <v>5012945</v>
      </c>
      <c r="B166" s="16" t="s">
        <v>511</v>
      </c>
      <c r="C166" s="37">
        <v>1</v>
      </c>
      <c r="D166" s="17">
        <v>2900</v>
      </c>
      <c r="E166" s="53">
        <v>2900</v>
      </c>
    </row>
    <row r="167" spans="1:5" x14ac:dyDescent="0.25">
      <c r="A167" s="30">
        <v>2758911</v>
      </c>
      <c r="B167" s="31" t="s">
        <v>512</v>
      </c>
      <c r="C167" s="44">
        <v>1</v>
      </c>
      <c r="D167" s="17">
        <v>2260</v>
      </c>
      <c r="E167" s="59">
        <v>2260</v>
      </c>
    </row>
    <row r="168" spans="1:5" x14ac:dyDescent="0.25">
      <c r="A168" s="15">
        <v>9676689</v>
      </c>
      <c r="B168" s="16" t="s">
        <v>513</v>
      </c>
      <c r="C168" s="37">
        <v>1</v>
      </c>
      <c r="D168" s="17">
        <v>2360</v>
      </c>
      <c r="E168" s="53">
        <v>2360</v>
      </c>
    </row>
    <row r="169" spans="1:5" x14ac:dyDescent="0.25">
      <c r="A169" s="30">
        <v>7560225</v>
      </c>
      <c r="B169" s="31" t="s">
        <v>514</v>
      </c>
      <c r="C169" s="44">
        <v>1</v>
      </c>
      <c r="D169" s="17">
        <v>2740</v>
      </c>
      <c r="E169" s="59">
        <v>2740</v>
      </c>
    </row>
    <row r="170" spans="1:5" x14ac:dyDescent="0.25">
      <c r="A170" s="15">
        <v>3847059</v>
      </c>
      <c r="B170" s="16" t="s">
        <v>515</v>
      </c>
      <c r="C170" s="37">
        <v>2</v>
      </c>
      <c r="D170" s="17">
        <v>1320</v>
      </c>
      <c r="E170" s="50">
        <f>C170*D170</f>
        <v>2640</v>
      </c>
    </row>
    <row r="171" spans="1:5" x14ac:dyDescent="0.25">
      <c r="A171" s="22">
        <v>250091</v>
      </c>
      <c r="B171" s="23" t="s">
        <v>516</v>
      </c>
      <c r="C171" s="40">
        <v>8</v>
      </c>
      <c r="D171" s="17">
        <v>510</v>
      </c>
      <c r="E171" s="52">
        <v>4080</v>
      </c>
    </row>
    <row r="172" spans="1:5" x14ac:dyDescent="0.25">
      <c r="A172" s="15">
        <v>65000</v>
      </c>
      <c r="B172" s="16" t="s">
        <v>517</v>
      </c>
      <c r="C172" s="37">
        <v>6</v>
      </c>
      <c r="D172" s="17">
        <v>870</v>
      </c>
      <c r="E172" s="47">
        <f>C172*D172</f>
        <v>5220</v>
      </c>
    </row>
    <row r="173" spans="1:5" x14ac:dyDescent="0.25">
      <c r="A173" s="15">
        <v>7381255</v>
      </c>
      <c r="B173" s="16" t="s">
        <v>518</v>
      </c>
      <c r="C173" s="37">
        <v>6</v>
      </c>
      <c r="D173" s="17">
        <v>780</v>
      </c>
      <c r="E173" s="47">
        <f>C173*D173</f>
        <v>4680</v>
      </c>
    </row>
    <row r="174" spans="1:5" x14ac:dyDescent="0.25">
      <c r="A174" s="15">
        <v>5551398</v>
      </c>
      <c r="B174" s="16" t="s">
        <v>519</v>
      </c>
      <c r="C174" s="37">
        <v>4</v>
      </c>
      <c r="D174" s="17">
        <v>860</v>
      </c>
      <c r="E174" s="47">
        <f>C174*D174</f>
        <v>3440</v>
      </c>
    </row>
    <row r="175" spans="1:5" x14ac:dyDescent="0.25">
      <c r="A175" s="24" t="s">
        <v>520</v>
      </c>
      <c r="B175" s="25" t="s">
        <v>521</v>
      </c>
      <c r="C175" s="41">
        <v>1</v>
      </c>
      <c r="D175" s="17">
        <v>2990</v>
      </c>
      <c r="E175" s="54">
        <v>2990</v>
      </c>
    </row>
    <row r="176" spans="1:5" x14ac:dyDescent="0.25">
      <c r="A176" s="21">
        <v>7380838</v>
      </c>
      <c r="B176" s="16" t="s">
        <v>522</v>
      </c>
      <c r="C176" s="37">
        <v>3</v>
      </c>
      <c r="D176" s="17">
        <v>610</v>
      </c>
      <c r="E176" s="50">
        <v>1830</v>
      </c>
    </row>
    <row r="177" spans="1:5" x14ac:dyDescent="0.25">
      <c r="A177" s="21">
        <v>7380746</v>
      </c>
      <c r="B177" s="16" t="s">
        <v>523</v>
      </c>
      <c r="C177" s="37">
        <v>3</v>
      </c>
      <c r="D177" s="17">
        <v>610</v>
      </c>
      <c r="E177" s="50">
        <v>1830</v>
      </c>
    </row>
    <row r="178" spans="1:5" x14ac:dyDescent="0.25">
      <c r="A178" s="15">
        <v>4004016</v>
      </c>
      <c r="B178" s="16" t="s">
        <v>524</v>
      </c>
      <c r="C178" s="37">
        <v>1</v>
      </c>
      <c r="D178" s="17">
        <v>33380</v>
      </c>
      <c r="E178" s="47">
        <f>C178*D178</f>
        <v>33380</v>
      </c>
    </row>
    <row r="179" spans="1:5" x14ac:dyDescent="0.25">
      <c r="A179" s="15"/>
      <c r="B179" s="16" t="s">
        <v>525</v>
      </c>
      <c r="C179" s="37">
        <v>5</v>
      </c>
      <c r="D179" s="17">
        <v>2900</v>
      </c>
      <c r="E179" s="47">
        <f>C179*D179</f>
        <v>14500</v>
      </c>
    </row>
    <row r="180" spans="1:5" x14ac:dyDescent="0.25">
      <c r="A180" s="18">
        <v>4015936</v>
      </c>
      <c r="B180" s="19" t="s">
        <v>525</v>
      </c>
      <c r="C180" s="38">
        <v>5</v>
      </c>
      <c r="D180" s="17">
        <v>580</v>
      </c>
      <c r="E180" s="48">
        <v>2900</v>
      </c>
    </row>
    <row r="181" spans="1:5" x14ac:dyDescent="0.25">
      <c r="A181" s="15"/>
      <c r="B181" s="16" t="s">
        <v>526</v>
      </c>
      <c r="C181" s="37">
        <v>15</v>
      </c>
      <c r="D181" s="17">
        <v>6000</v>
      </c>
      <c r="E181" s="47">
        <f>C181*D181</f>
        <v>90000</v>
      </c>
    </row>
    <row r="182" spans="1:5" x14ac:dyDescent="0.25">
      <c r="A182" s="15">
        <v>272755</v>
      </c>
      <c r="B182" s="16" t="s">
        <v>526</v>
      </c>
      <c r="C182" s="37">
        <v>15</v>
      </c>
      <c r="D182" s="17">
        <v>400</v>
      </c>
      <c r="E182" s="53">
        <v>6000</v>
      </c>
    </row>
    <row r="183" spans="1:5" x14ac:dyDescent="0.25">
      <c r="A183" s="15"/>
      <c r="B183" s="16" t="s">
        <v>527</v>
      </c>
      <c r="C183" s="37">
        <v>1</v>
      </c>
      <c r="D183" s="17">
        <v>2380</v>
      </c>
      <c r="E183" s="51">
        <v>2380</v>
      </c>
    </row>
    <row r="184" spans="1:5" x14ac:dyDescent="0.25">
      <c r="A184" s="15">
        <v>231144</v>
      </c>
      <c r="B184" s="16" t="s">
        <v>528</v>
      </c>
      <c r="C184" s="37">
        <v>10</v>
      </c>
      <c r="D184" s="17">
        <v>300</v>
      </c>
      <c r="E184" s="47">
        <f>C184*D184</f>
        <v>3000</v>
      </c>
    </row>
    <row r="185" spans="1:5" x14ac:dyDescent="0.25">
      <c r="A185" s="22">
        <v>4189879</v>
      </c>
      <c r="B185" s="23" t="s">
        <v>529</v>
      </c>
      <c r="C185" s="40">
        <v>4</v>
      </c>
      <c r="D185" s="17">
        <v>790</v>
      </c>
      <c r="E185" s="52">
        <v>3160</v>
      </c>
    </row>
    <row r="186" spans="1:5" x14ac:dyDescent="0.25">
      <c r="A186" s="15">
        <v>3783418</v>
      </c>
      <c r="B186" s="16" t="s">
        <v>530</v>
      </c>
      <c r="C186" s="37">
        <v>3</v>
      </c>
      <c r="D186" s="17">
        <v>1160</v>
      </c>
      <c r="E186" s="50">
        <f>C186*D186</f>
        <v>3480</v>
      </c>
    </row>
    <row r="187" spans="1:5" x14ac:dyDescent="0.25">
      <c r="A187" s="30">
        <v>3783418</v>
      </c>
      <c r="B187" s="31" t="s">
        <v>530</v>
      </c>
      <c r="C187" s="44">
        <v>3</v>
      </c>
      <c r="D187" s="17">
        <v>1160</v>
      </c>
      <c r="E187" s="59">
        <v>3480</v>
      </c>
    </row>
    <row r="188" spans="1:5" x14ac:dyDescent="0.25">
      <c r="A188" s="15">
        <v>8233729</v>
      </c>
      <c r="B188" s="16" t="s">
        <v>531</v>
      </c>
      <c r="C188" s="37">
        <v>3</v>
      </c>
      <c r="D188" s="17">
        <v>710</v>
      </c>
      <c r="E188" s="47">
        <f>C188*D188</f>
        <v>2130</v>
      </c>
    </row>
    <row r="189" spans="1:5" x14ac:dyDescent="0.25">
      <c r="A189" s="15"/>
      <c r="B189" s="20" t="s">
        <v>532</v>
      </c>
      <c r="C189" s="39">
        <v>3</v>
      </c>
      <c r="D189" s="17">
        <v>690</v>
      </c>
      <c r="E189" s="49">
        <v>2070</v>
      </c>
    </row>
    <row r="190" spans="1:5" x14ac:dyDescent="0.25">
      <c r="A190" s="15">
        <v>234114</v>
      </c>
      <c r="B190" s="16" t="s">
        <v>533</v>
      </c>
      <c r="C190" s="37">
        <v>3</v>
      </c>
      <c r="D190" s="17">
        <v>740</v>
      </c>
      <c r="E190" s="47">
        <f>C190*D190</f>
        <v>2220</v>
      </c>
    </row>
    <row r="191" spans="1:5" x14ac:dyDescent="0.25">
      <c r="A191" s="15"/>
      <c r="B191" s="16" t="s">
        <v>534</v>
      </c>
      <c r="C191" s="37">
        <v>5</v>
      </c>
      <c r="D191" s="17">
        <v>4350</v>
      </c>
      <c r="E191" s="47">
        <f>C191*D191</f>
        <v>21750</v>
      </c>
    </row>
    <row r="192" spans="1:5" x14ac:dyDescent="0.25">
      <c r="A192" s="18">
        <v>4087735</v>
      </c>
      <c r="B192" s="19" t="s">
        <v>534</v>
      </c>
      <c r="C192" s="38">
        <v>5</v>
      </c>
      <c r="D192" s="17">
        <v>870</v>
      </c>
      <c r="E192" s="48">
        <v>4350</v>
      </c>
    </row>
    <row r="193" spans="1:5" x14ac:dyDescent="0.25">
      <c r="A193" s="15"/>
      <c r="B193" s="26" t="s">
        <v>535</v>
      </c>
      <c r="C193" s="42">
        <v>3</v>
      </c>
      <c r="D193" s="17">
        <v>860</v>
      </c>
      <c r="E193" s="55">
        <v>2580</v>
      </c>
    </row>
    <row r="194" spans="1:5" x14ac:dyDescent="0.25">
      <c r="A194" s="15">
        <v>4087742</v>
      </c>
      <c r="B194" s="26" t="s">
        <v>535</v>
      </c>
      <c r="C194" s="42">
        <v>3</v>
      </c>
      <c r="D194" s="17">
        <v>860</v>
      </c>
      <c r="E194" s="56">
        <v>2580</v>
      </c>
    </row>
    <row r="195" spans="1:5" x14ac:dyDescent="0.25">
      <c r="A195" s="15">
        <v>4087742</v>
      </c>
      <c r="B195" s="16" t="s">
        <v>535</v>
      </c>
      <c r="C195" s="37">
        <v>5</v>
      </c>
      <c r="D195" s="17">
        <v>860</v>
      </c>
      <c r="E195" s="53">
        <v>4300</v>
      </c>
    </row>
    <row r="196" spans="1:5" x14ac:dyDescent="0.25">
      <c r="A196" s="15"/>
      <c r="B196" s="16" t="s">
        <v>536</v>
      </c>
      <c r="C196" s="37">
        <v>5</v>
      </c>
      <c r="D196" s="17">
        <v>4300</v>
      </c>
      <c r="E196" s="47">
        <f>C196*D196</f>
        <v>21500</v>
      </c>
    </row>
    <row r="197" spans="1:5" x14ac:dyDescent="0.25">
      <c r="A197" s="15">
        <v>279747</v>
      </c>
      <c r="B197" s="16" t="s">
        <v>537</v>
      </c>
      <c r="C197" s="37">
        <v>6</v>
      </c>
      <c r="D197" s="17">
        <v>360</v>
      </c>
      <c r="E197" s="47">
        <f>C197*D197</f>
        <v>2160</v>
      </c>
    </row>
    <row r="198" spans="1:5" x14ac:dyDescent="0.25">
      <c r="A198" s="21">
        <v>4156363</v>
      </c>
      <c r="B198" s="16" t="s">
        <v>538</v>
      </c>
      <c r="C198" s="37">
        <v>3</v>
      </c>
      <c r="D198" s="17">
        <v>860</v>
      </c>
      <c r="E198" s="50">
        <v>2580</v>
      </c>
    </row>
    <row r="199" spans="1:5" x14ac:dyDescent="0.25">
      <c r="A199" s="15">
        <v>2660</v>
      </c>
      <c r="B199" s="16" t="s">
        <v>539</v>
      </c>
      <c r="C199" s="37">
        <v>1</v>
      </c>
      <c r="D199" s="17">
        <v>11920</v>
      </c>
      <c r="E199" s="47">
        <f>C199*D199</f>
        <v>11920</v>
      </c>
    </row>
    <row r="200" spans="1:5" x14ac:dyDescent="0.25">
      <c r="A200" s="15"/>
      <c r="B200" s="27" t="s">
        <v>540</v>
      </c>
      <c r="C200" s="43">
        <v>5</v>
      </c>
      <c r="D200" s="17">
        <v>1080</v>
      </c>
      <c r="E200" s="57">
        <v>5400</v>
      </c>
    </row>
    <row r="201" spans="1:5" x14ac:dyDescent="0.25">
      <c r="A201" s="15">
        <v>4014304</v>
      </c>
      <c r="B201" s="26" t="s">
        <v>541</v>
      </c>
      <c r="C201" s="42">
        <v>5</v>
      </c>
      <c r="D201" s="17">
        <v>1080</v>
      </c>
      <c r="E201" s="56">
        <v>5400</v>
      </c>
    </row>
    <row r="202" spans="1:5" x14ac:dyDescent="0.25">
      <c r="A202" s="24">
        <v>4632635</v>
      </c>
      <c r="B202" s="25" t="s">
        <v>542</v>
      </c>
      <c r="C202" s="41">
        <v>2</v>
      </c>
      <c r="D202" s="17">
        <v>1540</v>
      </c>
      <c r="E202" s="54">
        <v>3080</v>
      </c>
    </row>
    <row r="203" spans="1:5" x14ac:dyDescent="0.25">
      <c r="A203" s="22">
        <v>5036316</v>
      </c>
      <c r="B203" s="23" t="s">
        <v>543</v>
      </c>
      <c r="C203" s="40">
        <v>2</v>
      </c>
      <c r="D203" s="17">
        <v>1490</v>
      </c>
      <c r="E203" s="52">
        <v>2980</v>
      </c>
    </row>
    <row r="204" spans="1:5" x14ac:dyDescent="0.25">
      <c r="A204" s="24">
        <v>5036361</v>
      </c>
      <c r="B204" s="25" t="s">
        <v>544</v>
      </c>
      <c r="C204" s="41">
        <v>2</v>
      </c>
      <c r="D204" s="17">
        <v>1490</v>
      </c>
      <c r="E204" s="54">
        <v>2980</v>
      </c>
    </row>
    <row r="205" spans="1:5" x14ac:dyDescent="0.25">
      <c r="A205" s="22">
        <v>5981852</v>
      </c>
      <c r="B205" s="23" t="s">
        <v>545</v>
      </c>
      <c r="C205" s="40">
        <v>2</v>
      </c>
      <c r="D205" s="17">
        <v>1250</v>
      </c>
      <c r="E205" s="52">
        <v>2500</v>
      </c>
    </row>
    <row r="206" spans="1:5" x14ac:dyDescent="0.25">
      <c r="A206" s="22">
        <v>5531415</v>
      </c>
      <c r="B206" s="23" t="s">
        <v>546</v>
      </c>
      <c r="C206" s="40">
        <v>1</v>
      </c>
      <c r="D206" s="17">
        <v>1490</v>
      </c>
      <c r="E206" s="52">
        <v>1490</v>
      </c>
    </row>
    <row r="207" spans="1:5" x14ac:dyDescent="0.25">
      <c r="A207" s="24">
        <v>5981869</v>
      </c>
      <c r="B207" s="25" t="s">
        <v>547</v>
      </c>
      <c r="C207" s="41">
        <v>2</v>
      </c>
      <c r="D207" s="17">
        <v>1250</v>
      </c>
      <c r="E207" s="54">
        <v>2500</v>
      </c>
    </row>
    <row r="208" spans="1:5" x14ac:dyDescent="0.25">
      <c r="A208" s="22">
        <v>5981678</v>
      </c>
      <c r="B208" s="23" t="s">
        <v>548</v>
      </c>
      <c r="C208" s="40">
        <v>3</v>
      </c>
      <c r="D208" s="17">
        <v>700</v>
      </c>
      <c r="E208" s="52">
        <v>2100</v>
      </c>
    </row>
    <row r="209" spans="1:5" x14ac:dyDescent="0.25">
      <c r="A209" s="21">
        <v>5036354</v>
      </c>
      <c r="B209" s="16" t="s">
        <v>549</v>
      </c>
      <c r="C209" s="37">
        <v>2</v>
      </c>
      <c r="D209" s="17">
        <v>1490</v>
      </c>
      <c r="E209" s="50">
        <v>2980</v>
      </c>
    </row>
    <row r="210" spans="1:5" x14ac:dyDescent="0.25">
      <c r="A210" s="15"/>
      <c r="B210" s="16" t="s">
        <v>550</v>
      </c>
      <c r="C210" s="37">
        <v>10</v>
      </c>
      <c r="D210" s="17">
        <v>5500</v>
      </c>
      <c r="E210" s="47">
        <f>C210*D210</f>
        <v>55000</v>
      </c>
    </row>
    <row r="211" spans="1:5" x14ac:dyDescent="0.25">
      <c r="A211" s="15">
        <v>4016339</v>
      </c>
      <c r="B211" s="16" t="s">
        <v>550</v>
      </c>
      <c r="C211" s="37">
        <v>10</v>
      </c>
      <c r="D211" s="17">
        <v>550</v>
      </c>
      <c r="E211" s="53">
        <v>5500</v>
      </c>
    </row>
    <row r="212" spans="1:5" x14ac:dyDescent="0.25">
      <c r="A212" s="15"/>
      <c r="B212" s="16" t="s">
        <v>551</v>
      </c>
      <c r="C212" s="37">
        <v>15</v>
      </c>
      <c r="D212" s="17">
        <v>5700</v>
      </c>
      <c r="E212" s="47">
        <f>C212*D212</f>
        <v>85500</v>
      </c>
    </row>
    <row r="213" spans="1:5" x14ac:dyDescent="0.25">
      <c r="A213" s="18">
        <v>7552007</v>
      </c>
      <c r="B213" s="19" t="s">
        <v>551</v>
      </c>
      <c r="C213" s="38">
        <v>15</v>
      </c>
      <c r="D213" s="17">
        <v>380</v>
      </c>
      <c r="E213" s="48">
        <v>5700</v>
      </c>
    </row>
    <row r="214" spans="1:5" x14ac:dyDescent="0.25">
      <c r="A214" s="15"/>
      <c r="B214" s="26" t="s">
        <v>552</v>
      </c>
      <c r="C214" s="42">
        <v>6</v>
      </c>
      <c r="D214" s="17">
        <v>970</v>
      </c>
      <c r="E214" s="55">
        <v>5820</v>
      </c>
    </row>
    <row r="215" spans="1:5" x14ac:dyDescent="0.25">
      <c r="A215" s="32" t="s">
        <v>553</v>
      </c>
      <c r="B215" s="26" t="s">
        <v>552</v>
      </c>
      <c r="C215" s="42">
        <v>6</v>
      </c>
      <c r="D215" s="17">
        <v>970</v>
      </c>
      <c r="E215" s="56">
        <v>5820</v>
      </c>
    </row>
    <row r="216" spans="1:5" x14ac:dyDescent="0.25">
      <c r="A216" s="15"/>
      <c r="B216" s="27" t="s">
        <v>554</v>
      </c>
      <c r="C216" s="43">
        <v>10</v>
      </c>
      <c r="D216" s="17">
        <v>540</v>
      </c>
      <c r="E216" s="57">
        <v>5400</v>
      </c>
    </row>
    <row r="217" spans="1:5" x14ac:dyDescent="0.25">
      <c r="A217" s="15">
        <v>5009587</v>
      </c>
      <c r="B217" s="26" t="s">
        <v>554</v>
      </c>
      <c r="C217" s="42">
        <v>10</v>
      </c>
      <c r="D217" s="17">
        <v>540</v>
      </c>
      <c r="E217" s="56">
        <v>5400</v>
      </c>
    </row>
    <row r="218" spans="1:5" x14ac:dyDescent="0.25">
      <c r="A218" s="15">
        <v>5540015</v>
      </c>
      <c r="B218" s="16" t="s">
        <v>555</v>
      </c>
      <c r="C218" s="37">
        <v>4</v>
      </c>
      <c r="D218" s="17">
        <v>380</v>
      </c>
      <c r="E218" s="53">
        <v>1520</v>
      </c>
    </row>
    <row r="219" spans="1:5" x14ac:dyDescent="0.25">
      <c r="A219" s="30">
        <v>5540008</v>
      </c>
      <c r="B219" s="31" t="s">
        <v>556</v>
      </c>
      <c r="C219" s="44">
        <v>4</v>
      </c>
      <c r="D219" s="17">
        <v>390</v>
      </c>
      <c r="E219" s="59">
        <v>1560</v>
      </c>
    </row>
    <row r="220" spans="1:5" x14ac:dyDescent="0.25">
      <c r="A220" s="15"/>
      <c r="B220" s="27" t="s">
        <v>557</v>
      </c>
      <c r="C220" s="43">
        <v>3</v>
      </c>
      <c r="D220" s="17">
        <v>1130</v>
      </c>
      <c r="E220" s="57">
        <v>3390</v>
      </c>
    </row>
    <row r="221" spans="1:5" x14ac:dyDescent="0.25">
      <c r="A221" s="15">
        <v>4470872</v>
      </c>
      <c r="B221" s="26" t="s">
        <v>557</v>
      </c>
      <c r="C221" s="42">
        <v>3</v>
      </c>
      <c r="D221" s="17">
        <v>1300</v>
      </c>
      <c r="E221" s="56">
        <v>3390</v>
      </c>
    </row>
    <row r="222" spans="1:5" x14ac:dyDescent="0.25">
      <c r="A222" s="33"/>
      <c r="B222" s="34" t="s">
        <v>558</v>
      </c>
      <c r="C222" s="45">
        <v>3</v>
      </c>
      <c r="D222" s="35">
        <v>1060</v>
      </c>
      <c r="E222" s="60">
        <v>3180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PreciosPDF</vt:lpstr>
      <vt:lpstr>PreciosImg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SERGIO SEBASTIAN YAÑEZ</cp:lastModifiedBy>
  <dcterms:created xsi:type="dcterms:W3CDTF">2015-06-05T18:19:34Z</dcterms:created>
  <dcterms:modified xsi:type="dcterms:W3CDTF">2026-05-26T14:50:59Z</dcterms:modified>
</cp:coreProperties>
</file>